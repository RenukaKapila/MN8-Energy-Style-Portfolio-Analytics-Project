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ortfolio_Data" sheetId="2" state="visible" r:id="rId2"/>
    <sheet xmlns:r="http://schemas.openxmlformats.org/officeDocument/2006/relationships" name="Monthly_Data" sheetId="3" state="visible" r:id="rId3"/>
    <sheet xmlns:r="http://schemas.openxmlformats.org/officeDocument/2006/relationships" name="Issue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"/>
    <numFmt numFmtId="166" formatCode="0.0%"/>
    <numFmt numFmtId="167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1" fillId="2" borderId="0" pivotButton="0" quotePrefix="0" xfId="0"/>
    <xf numFmtId="165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66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Project Delays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'Dashboard'!$A$11:$A$18</f>
            </numRef>
          </cat>
          <val>
            <numRef>
              <f>'Dashboard'!$D$11:$D$18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Root Cause Impact Days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'Dashboard'!I10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'Dashboard'!$H$11:$H$18</f>
            </numRef>
          </cat>
          <val>
            <numRef>
              <f>'Dashboard'!$I$11:$I$18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Capacity by Technology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'Dashboard'!L4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'Dashboard'!$K$5:$K$7</f>
            </numRef>
          </cat>
          <val>
            <numRef>
              <f>'Dashboard'!$L$5:$L$7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20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8</row>
      <rowOff>0</rowOff>
    </from>
    <ext cx="360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MN8 Energy Style Portfolio Analytics Dashboard</t>
        </is>
      </c>
    </row>
    <row r="3">
      <c r="A3" s="2" t="inlineStr">
        <is>
          <t>Total Projects</t>
        </is>
      </c>
      <c r="C3" s="2" t="inlineStr">
        <is>
          <t>Total Capacity (MW)</t>
        </is>
      </c>
      <c r="E3" s="2" t="inlineStr">
        <is>
          <t>Avg Schedule Variance (Days)</t>
        </is>
      </c>
      <c r="K3" s="3" t="inlineStr">
        <is>
          <t>Capacity by Technology (MW)</t>
        </is>
      </c>
    </row>
    <row r="4">
      <c r="A4" s="4">
        <f>COUNTA(Portfolio_Data!A2:A25)</f>
        <v/>
      </c>
      <c r="C4" s="4">
        <f>SUM(Portfolio_Data!H2:H25)</f>
        <v/>
      </c>
      <c r="E4" s="4">
        <f>AVERAGE(Portfolio_Data!L2:L25)</f>
        <v/>
      </c>
      <c r="K4" s="2" t="inlineStr">
        <is>
          <t>Technology</t>
        </is>
      </c>
      <c r="L4" s="2" t="inlineStr">
        <is>
          <t>Capacity MW</t>
        </is>
      </c>
    </row>
    <row r="5">
      <c r="K5" t="inlineStr">
        <is>
          <t>Battery Storage</t>
        </is>
      </c>
      <c r="L5" t="n">
        <v>1524</v>
      </c>
    </row>
    <row r="6">
      <c r="A6" s="2" t="inlineStr">
        <is>
          <t>Projects At Risk</t>
        </is>
      </c>
      <c r="C6" s="2" t="inlineStr">
        <is>
          <t>Avg Budget Variance %</t>
        </is>
      </c>
      <c r="E6" s="2" t="inlineStr">
        <is>
          <t>Avg Risk Score</t>
        </is>
      </c>
      <c r="K6" t="inlineStr">
        <is>
          <t>Solar PV</t>
        </is>
      </c>
      <c r="L6" t="n">
        <v>1361</v>
      </c>
    </row>
    <row r="7">
      <c r="A7" s="4">
        <f>COUNTIF(Portfolio_Data!R2:R25,"At Risk")</f>
        <v/>
      </c>
      <c r="C7" s="5">
        <f>AVERAGE(Portfolio_Data!O2:O25)/100</f>
        <v/>
      </c>
      <c r="E7" s="6">
        <f>AVERAGE(Portfolio_Data!Q2:Q25)</f>
        <v/>
      </c>
      <c r="K7" t="inlineStr">
        <is>
          <t>Hybrid Solar + Storage</t>
        </is>
      </c>
      <c r="L7" t="n">
        <v>543</v>
      </c>
    </row>
    <row r="9">
      <c r="A9" s="3" t="inlineStr">
        <is>
          <t>High-Risk Projects</t>
        </is>
      </c>
      <c r="H9" s="3" t="inlineStr">
        <is>
          <t>Root Cause Impact Days</t>
        </is>
      </c>
    </row>
    <row r="10">
      <c r="A10" s="2" t="inlineStr">
        <is>
          <t>Project ID</t>
        </is>
      </c>
      <c r="B10" s="2" t="inlineStr">
        <is>
          <t>Technology</t>
        </is>
      </c>
      <c r="C10" s="2" t="inlineStr">
        <is>
          <t>Stage</t>
        </is>
      </c>
      <c r="D10" s="2" t="inlineStr">
        <is>
          <t>Delay Days</t>
        </is>
      </c>
      <c r="E10" s="2" t="inlineStr">
        <is>
          <t>Budget Var %</t>
        </is>
      </c>
      <c r="F10" s="2" t="inlineStr">
        <is>
          <t>Risk Score</t>
        </is>
      </c>
      <c r="H10" s="2" t="inlineStr">
        <is>
          <t>Root Cause</t>
        </is>
      </c>
      <c r="I10" s="2" t="inlineStr">
        <is>
          <t>Impact Days</t>
        </is>
      </c>
    </row>
    <row r="11">
      <c r="A11" t="inlineStr">
        <is>
          <t>MN8-008</t>
        </is>
      </c>
      <c r="B11" t="inlineStr">
        <is>
          <t>Solar PV</t>
        </is>
      </c>
      <c r="C11" t="inlineStr">
        <is>
          <t>Engineering</t>
        </is>
      </c>
      <c r="D11" t="n">
        <v>25</v>
      </c>
      <c r="E11" s="7" t="n">
        <v>0.0371</v>
      </c>
      <c r="F11" t="n">
        <v>62.8</v>
      </c>
      <c r="H11" t="inlineStr">
        <is>
          <t>Supply chain</t>
        </is>
      </c>
      <c r="I11" t="n">
        <v>222</v>
      </c>
    </row>
    <row r="12">
      <c r="A12" t="inlineStr">
        <is>
          <t>MN8-017</t>
        </is>
      </c>
      <c r="B12" t="inlineStr">
        <is>
          <t>Battery Storage</t>
        </is>
      </c>
      <c r="C12" t="inlineStr">
        <is>
          <t>Construction</t>
        </is>
      </c>
      <c r="D12" t="n">
        <v>57</v>
      </c>
      <c r="E12" s="7" t="n">
        <v>-0.0801</v>
      </c>
      <c r="F12" t="n">
        <v>62.4</v>
      </c>
      <c r="H12" t="inlineStr">
        <is>
          <t>Weather</t>
        </is>
      </c>
      <c r="I12" t="n">
        <v>219</v>
      </c>
    </row>
    <row r="13">
      <c r="A13" t="inlineStr">
        <is>
          <t>MN8-022</t>
        </is>
      </c>
      <c r="B13" t="inlineStr">
        <is>
          <t>Solar PV</t>
        </is>
      </c>
      <c r="C13" t="inlineStr">
        <is>
          <t>Development</t>
        </is>
      </c>
      <c r="D13" t="n">
        <v>12</v>
      </c>
      <c r="E13" s="7" t="n">
        <v>0.0522</v>
      </c>
      <c r="F13" t="n">
        <v>62</v>
      </c>
      <c r="H13" t="inlineStr">
        <is>
          <t>Design revision</t>
        </is>
      </c>
      <c r="I13" t="n">
        <v>153</v>
      </c>
    </row>
    <row r="14">
      <c r="A14" t="inlineStr">
        <is>
          <t>MN8-010</t>
        </is>
      </c>
      <c r="B14" t="inlineStr">
        <is>
          <t>Solar PV</t>
        </is>
      </c>
      <c r="C14" t="inlineStr">
        <is>
          <t>Commissioning</t>
        </is>
      </c>
      <c r="D14" t="n">
        <v>52</v>
      </c>
      <c r="E14" s="7" t="n">
        <v>-0.07629999999999999</v>
      </c>
      <c r="F14" t="n">
        <v>59.5</v>
      </c>
      <c r="H14" t="inlineStr">
        <is>
          <t>Interconnection delay</t>
        </is>
      </c>
      <c r="I14" t="n">
        <v>149</v>
      </c>
    </row>
    <row r="15">
      <c r="A15" t="inlineStr">
        <is>
          <t>MN8-020</t>
        </is>
      </c>
      <c r="B15" t="inlineStr">
        <is>
          <t>Hybrid Solar + Storage</t>
        </is>
      </c>
      <c r="C15" t="inlineStr">
        <is>
          <t>Engineering</t>
        </is>
      </c>
      <c r="D15" t="n">
        <v>-7</v>
      </c>
      <c r="E15" s="7" t="n">
        <v>0.0974</v>
      </c>
      <c r="F15" t="n">
        <v>58.7</v>
      </c>
      <c r="H15" t="inlineStr">
        <is>
          <t>Permit approval</t>
        </is>
      </c>
      <c r="I15" t="n">
        <v>131</v>
      </c>
    </row>
    <row r="16">
      <c r="A16" t="inlineStr">
        <is>
          <t>MN8-018</t>
        </is>
      </c>
      <c r="B16" t="inlineStr">
        <is>
          <t>Solar PV</t>
        </is>
      </c>
      <c r="C16" t="inlineStr">
        <is>
          <t>Development</t>
        </is>
      </c>
      <c r="D16" t="n">
        <v>-12</v>
      </c>
      <c r="E16" s="7" t="n">
        <v>-0.05019999999999999</v>
      </c>
      <c r="F16" t="n">
        <v>57.2</v>
      </c>
      <c r="H16" t="inlineStr">
        <is>
          <t>Contractor productivity</t>
        </is>
      </c>
      <c r="I16" t="n">
        <v>116</v>
      </c>
    </row>
    <row r="17">
      <c r="A17" t="inlineStr">
        <is>
          <t>MN8-013</t>
        </is>
      </c>
      <c r="B17" t="inlineStr">
        <is>
          <t>Battery Storage</t>
        </is>
      </c>
      <c r="C17" t="inlineStr">
        <is>
          <t>Commissioning</t>
        </is>
      </c>
      <c r="D17" t="n">
        <v>21</v>
      </c>
      <c r="E17" s="7" t="n">
        <v>0.08</v>
      </c>
      <c r="F17" t="n">
        <v>54.3</v>
      </c>
      <c r="H17" t="inlineStr">
        <is>
          <t>Equipment lead time</t>
        </is>
      </c>
      <c r="I17" t="n">
        <v>104</v>
      </c>
    </row>
    <row r="18">
      <c r="A18" t="inlineStr">
        <is>
          <t>MN8-004</t>
        </is>
      </c>
      <c r="B18" t="inlineStr">
        <is>
          <t>Solar PV</t>
        </is>
      </c>
      <c r="C18" t="inlineStr">
        <is>
          <t>Engineering</t>
        </is>
      </c>
      <c r="D18" t="n">
        <v>-16</v>
      </c>
      <c r="E18" s="7" t="n">
        <v>0.1001</v>
      </c>
      <c r="F18" t="n">
        <v>51.6</v>
      </c>
      <c r="H18" t="inlineStr">
        <is>
          <t>Site access</t>
        </is>
      </c>
      <c r="I18" t="n">
        <v>96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1" customWidth="1" min="4" max="4"/>
    <col width="15" customWidth="1" min="5" max="5"/>
    <col width="17" customWidth="1" min="6" max="6"/>
    <col width="13" customWidth="1" min="7" max="7"/>
    <col width="13" customWidth="1" min="8" max="8"/>
    <col width="15" customWidth="1" min="9" max="9"/>
    <col width="13" customWidth="1" min="10" max="10"/>
    <col width="14" customWidth="1" min="11" max="11"/>
    <col width="24" customWidth="1" min="12" max="12"/>
    <col width="21" customWidth="1" min="13" max="13"/>
    <col width="18" customWidth="1" min="14" max="14"/>
    <col width="21" customWidth="1" min="15" max="15"/>
    <col width="18" customWidth="1" min="16" max="16"/>
    <col width="12" customWidth="1" min="17" max="17"/>
    <col width="18" customWidth="1" min="18" max="18"/>
    <col width="24" customWidth="1" min="19" max="19"/>
  </cols>
  <sheetData>
    <row r="1">
      <c r="A1" s="8" t="inlineStr">
        <is>
          <t>project_id</t>
        </is>
      </c>
      <c r="B1" s="8" t="inlineStr">
        <is>
          <t>project_name</t>
        </is>
      </c>
      <c r="C1" s="8" t="inlineStr">
        <is>
          <t>technology</t>
        </is>
      </c>
      <c r="D1" s="8" t="inlineStr">
        <is>
          <t>region</t>
        </is>
      </c>
      <c r="E1" s="8" t="inlineStr">
        <is>
          <t>stage</t>
        </is>
      </c>
      <c r="F1" s="8" t="inlineStr">
        <is>
          <t>project_manager</t>
        </is>
      </c>
      <c r="G1" s="8" t="inlineStr">
        <is>
          <t>epc_vendor</t>
        </is>
      </c>
      <c r="H1" s="8" t="inlineStr">
        <is>
          <t>capacity_mw</t>
        </is>
      </c>
      <c r="I1" s="8" t="inlineStr">
        <is>
          <t>planned_start</t>
        </is>
      </c>
      <c r="J1" s="8" t="inlineStr">
        <is>
          <t>planned_cod</t>
        </is>
      </c>
      <c r="K1" s="8" t="inlineStr">
        <is>
          <t>forecast_cod</t>
        </is>
      </c>
      <c r="L1" s="8" t="inlineStr">
        <is>
          <t>schedule_variance_days</t>
        </is>
      </c>
      <c r="M1" s="8" t="inlineStr">
        <is>
          <t>baseline_budget_usd</t>
        </is>
      </c>
      <c r="N1" s="8" t="inlineStr">
        <is>
          <t>actual_spend_usd</t>
        </is>
      </c>
      <c r="O1" s="8" t="inlineStr">
        <is>
          <t>budget_variance_pct</t>
        </is>
      </c>
      <c r="P1" s="8" t="inlineStr">
        <is>
          <t>percent_complete</t>
        </is>
      </c>
      <c r="Q1" s="8" t="inlineStr">
        <is>
          <t>risk_score</t>
        </is>
      </c>
      <c r="R1" s="8" t="inlineStr">
        <is>
          <t>portfolio_health</t>
        </is>
      </c>
      <c r="S1" s="8" t="inlineStr">
        <is>
          <t>commercial_operation_year</t>
        </is>
      </c>
    </row>
    <row r="2">
      <c r="A2" t="inlineStr">
        <is>
          <t>MN8-001</t>
        </is>
      </c>
      <c r="B2" t="inlineStr">
        <is>
          <t>Texas Battery Project 1</t>
        </is>
      </c>
      <c r="C2" t="inlineStr">
        <is>
          <t>Battery Storage</t>
        </is>
      </c>
      <c r="D2" t="inlineStr">
        <is>
          <t>Texas</t>
        </is>
      </c>
      <c r="E2" t="inlineStr">
        <is>
          <t>Commissioning</t>
        </is>
      </c>
      <c r="F2" t="inlineStr">
        <is>
          <t>L. Kim</t>
        </is>
      </c>
      <c r="G2" t="inlineStr">
        <is>
          <t>BrightPath</t>
        </is>
      </c>
      <c r="H2" t="n">
        <v>102</v>
      </c>
      <c r="I2" s="9" t="n">
        <v>45752</v>
      </c>
      <c r="J2" s="9" t="n">
        <v>45984</v>
      </c>
      <c r="K2" s="9" t="n">
        <v>46019</v>
      </c>
      <c r="L2" t="n">
        <v>35</v>
      </c>
      <c r="M2" t="n">
        <v>90722775</v>
      </c>
      <c r="N2" t="n">
        <v>75843229</v>
      </c>
      <c r="O2" t="n">
        <v>3.22</v>
      </c>
      <c r="P2" t="n">
        <v>81</v>
      </c>
      <c r="Q2" t="n">
        <v>44.9</v>
      </c>
      <c r="R2" t="inlineStr">
        <is>
          <t>Watch</t>
        </is>
      </c>
      <c r="S2" t="n">
        <v>2025</v>
      </c>
    </row>
    <row r="3">
      <c r="A3" t="inlineStr">
        <is>
          <t>MN8-002</t>
        </is>
      </c>
      <c r="B3" t="inlineStr">
        <is>
          <t>Southwest Solar Project 2</t>
        </is>
      </c>
      <c r="C3" t="inlineStr">
        <is>
          <t>Solar PV</t>
        </is>
      </c>
      <c r="D3" t="inlineStr">
        <is>
          <t>Southwest</t>
        </is>
      </c>
      <c r="E3" t="inlineStr">
        <is>
          <t>Development</t>
        </is>
      </c>
      <c r="F3" t="inlineStr">
        <is>
          <t>D. Singh</t>
        </is>
      </c>
      <c r="G3" t="inlineStr">
        <is>
          <t>SunPeak</t>
        </is>
      </c>
      <c r="H3" t="n">
        <v>103</v>
      </c>
      <c r="I3" s="9" t="n">
        <v>45755</v>
      </c>
      <c r="J3" s="9" t="n">
        <v>46193</v>
      </c>
      <c r="K3" s="9" t="n">
        <v>46178</v>
      </c>
      <c r="L3" t="n">
        <v>-15</v>
      </c>
      <c r="M3" t="n">
        <v>96478133</v>
      </c>
      <c r="N3" t="n">
        <v>11319117</v>
      </c>
      <c r="O3" t="n">
        <v>-6.93</v>
      </c>
      <c r="P3" t="n">
        <v>12.6</v>
      </c>
      <c r="Q3" t="n">
        <v>38.1</v>
      </c>
      <c r="R3" t="inlineStr">
        <is>
          <t>Healthy</t>
        </is>
      </c>
      <c r="S3" t="n">
        <v>2026</v>
      </c>
    </row>
    <row r="4">
      <c r="A4" t="inlineStr">
        <is>
          <t>MN8-003</t>
        </is>
      </c>
      <c r="B4" t="inlineStr">
        <is>
          <t>Northeast Battery Project 3</t>
        </is>
      </c>
      <c r="C4" t="inlineStr">
        <is>
          <t>Battery Storage</t>
        </is>
      </c>
      <c r="D4" t="inlineStr">
        <is>
          <t>Northeast</t>
        </is>
      </c>
      <c r="E4" t="inlineStr">
        <is>
          <t>Construction</t>
        </is>
      </c>
      <c r="F4" t="inlineStr">
        <is>
          <t>S. Patel</t>
        </is>
      </c>
      <c r="G4" t="inlineStr">
        <is>
          <t>StorageCore</t>
        </is>
      </c>
      <c r="H4" t="n">
        <v>154</v>
      </c>
      <c r="I4" s="9" t="n">
        <v>45939</v>
      </c>
      <c r="J4" s="9" t="n">
        <v>46122</v>
      </c>
      <c r="K4" s="9" t="n">
        <v>46109</v>
      </c>
      <c r="L4" t="n">
        <v>-13</v>
      </c>
      <c r="M4" t="n">
        <v>129749912</v>
      </c>
      <c r="N4" t="n">
        <v>90008895</v>
      </c>
      <c r="O4" t="n">
        <v>3.37</v>
      </c>
      <c r="P4" t="n">
        <v>67.09999999999999</v>
      </c>
      <c r="Q4" t="n">
        <v>19.7</v>
      </c>
      <c r="R4" t="inlineStr">
        <is>
          <t>Healthy</t>
        </is>
      </c>
      <c r="S4" t="n">
        <v>2026</v>
      </c>
    </row>
    <row r="5">
      <c r="A5" t="inlineStr">
        <is>
          <t>MN8-004</t>
        </is>
      </c>
      <c r="B5" t="inlineStr">
        <is>
          <t>Southeast Solar Project 4</t>
        </is>
      </c>
      <c r="C5" t="inlineStr">
        <is>
          <t>Solar PV</t>
        </is>
      </c>
      <c r="D5" t="inlineStr">
        <is>
          <t>Southeast</t>
        </is>
      </c>
      <c r="E5" t="inlineStr">
        <is>
          <t>Engineering</t>
        </is>
      </c>
      <c r="F5" t="inlineStr">
        <is>
          <t>A. Lopez</t>
        </is>
      </c>
      <c r="G5" t="inlineStr">
        <is>
          <t>HelioWorks</t>
        </is>
      </c>
      <c r="H5" t="n">
        <v>166</v>
      </c>
      <c r="I5" s="9" t="n">
        <v>45691</v>
      </c>
      <c r="J5" s="9" t="n">
        <v>46065</v>
      </c>
      <c r="K5" s="9" t="n">
        <v>46049</v>
      </c>
      <c r="L5" t="n">
        <v>-16</v>
      </c>
      <c r="M5" t="n">
        <v>152642714</v>
      </c>
      <c r="N5" t="n">
        <v>64151094</v>
      </c>
      <c r="O5" t="n">
        <v>10.01</v>
      </c>
      <c r="P5" t="n">
        <v>38.2</v>
      </c>
      <c r="Q5" t="n">
        <v>51.6</v>
      </c>
      <c r="R5" t="inlineStr">
        <is>
          <t>Watch</t>
        </is>
      </c>
      <c r="S5" t="n">
        <v>2026</v>
      </c>
    </row>
    <row r="6">
      <c r="A6" t="inlineStr">
        <is>
          <t>MN8-005</t>
        </is>
      </c>
      <c r="B6" t="inlineStr">
        <is>
          <t>Northeast Hybrid Project 5</t>
        </is>
      </c>
      <c r="C6" t="inlineStr">
        <is>
          <t>Hybrid Solar + Storage</t>
        </is>
      </c>
      <c r="D6" t="inlineStr">
        <is>
          <t>Northeast</t>
        </is>
      </c>
      <c r="E6" t="inlineStr">
        <is>
          <t>Engineering</t>
        </is>
      </c>
      <c r="F6" t="inlineStr">
        <is>
          <t>R. Johnson</t>
        </is>
      </c>
      <c r="G6" t="inlineStr">
        <is>
          <t>SunPeak</t>
        </is>
      </c>
      <c r="H6" t="n">
        <v>131</v>
      </c>
      <c r="I6" s="9" t="n">
        <v>45887</v>
      </c>
      <c r="J6" s="9" t="n">
        <v>46130</v>
      </c>
      <c r="K6" s="9" t="n">
        <v>46163</v>
      </c>
      <c r="L6" t="n">
        <v>33</v>
      </c>
      <c r="M6" t="n">
        <v>157583538</v>
      </c>
      <c r="N6" t="n">
        <v>72202263</v>
      </c>
      <c r="O6" t="n">
        <v>10.67</v>
      </c>
      <c r="P6" t="n">
        <v>41.4</v>
      </c>
      <c r="Q6" t="n">
        <v>47.4</v>
      </c>
      <c r="R6" t="inlineStr">
        <is>
          <t>Watch</t>
        </is>
      </c>
      <c r="S6" t="n">
        <v>2026</v>
      </c>
    </row>
    <row r="7">
      <c r="A7" t="inlineStr">
        <is>
          <t>MN8-006</t>
        </is>
      </c>
      <c r="B7" t="inlineStr">
        <is>
          <t>Northeast Battery Project 6</t>
        </is>
      </c>
      <c r="C7" t="inlineStr">
        <is>
          <t>Battery Storage</t>
        </is>
      </c>
      <c r="D7" t="inlineStr">
        <is>
          <t>Northeast</t>
        </is>
      </c>
      <c r="E7" t="inlineStr">
        <is>
          <t>Operational</t>
        </is>
      </c>
      <c r="F7" t="inlineStr">
        <is>
          <t>A. Lopez</t>
        </is>
      </c>
      <c r="G7" t="inlineStr">
        <is>
          <t>SunPeak</t>
        </is>
      </c>
      <c r="H7" t="n">
        <v>132</v>
      </c>
      <c r="I7" s="9" t="n">
        <v>45937</v>
      </c>
      <c r="J7" s="9" t="n">
        <v>46477</v>
      </c>
      <c r="K7" s="9" t="n">
        <v>46489</v>
      </c>
      <c r="L7" t="n">
        <v>12</v>
      </c>
      <c r="M7" t="n">
        <v>121666858</v>
      </c>
      <c r="N7" t="n">
        <v>115335692</v>
      </c>
      <c r="O7" t="n">
        <v>-4.03</v>
      </c>
      <c r="P7" t="n">
        <v>98.8</v>
      </c>
      <c r="Q7" t="n">
        <v>8</v>
      </c>
      <c r="R7" t="inlineStr">
        <is>
          <t>Healthy</t>
        </is>
      </c>
      <c r="S7" t="n">
        <v>2027</v>
      </c>
    </row>
    <row r="8">
      <c r="A8" t="inlineStr">
        <is>
          <t>MN8-007</t>
        </is>
      </c>
      <c r="B8" t="inlineStr">
        <is>
          <t>Midwest Battery Project 7</t>
        </is>
      </c>
      <c r="C8" t="inlineStr">
        <is>
          <t>Battery Storage</t>
        </is>
      </c>
      <c r="D8" t="inlineStr">
        <is>
          <t>Midwest</t>
        </is>
      </c>
      <c r="E8" t="inlineStr">
        <is>
          <t>Operational</t>
        </is>
      </c>
      <c r="F8" t="inlineStr">
        <is>
          <t>R. Johnson</t>
        </is>
      </c>
      <c r="G8" t="inlineStr">
        <is>
          <t>HelioWorks</t>
        </is>
      </c>
      <c r="H8" t="n">
        <v>99</v>
      </c>
      <c r="I8" s="9" t="n">
        <v>45701</v>
      </c>
      <c r="J8" s="9" t="n">
        <v>46023</v>
      </c>
      <c r="K8" s="9" t="n">
        <v>46012</v>
      </c>
      <c r="L8" t="n">
        <v>-11</v>
      </c>
      <c r="M8" t="n">
        <v>80463128</v>
      </c>
      <c r="N8" t="n">
        <v>86064428</v>
      </c>
      <c r="O8" t="n">
        <v>6.99</v>
      </c>
      <c r="P8" t="n">
        <v>100</v>
      </c>
      <c r="Q8" t="n">
        <v>8</v>
      </c>
      <c r="R8" t="inlineStr">
        <is>
          <t>Healthy</t>
        </is>
      </c>
      <c r="S8" t="n">
        <v>2025</v>
      </c>
    </row>
    <row r="9">
      <c r="A9" t="inlineStr">
        <is>
          <t>MN8-008</t>
        </is>
      </c>
      <c r="B9" t="inlineStr">
        <is>
          <t>Midwest Solar Project 8</t>
        </is>
      </c>
      <c r="C9" t="inlineStr">
        <is>
          <t>Solar PV</t>
        </is>
      </c>
      <c r="D9" t="inlineStr">
        <is>
          <t>Midwest</t>
        </is>
      </c>
      <c r="E9" t="inlineStr">
        <is>
          <t>Engineering</t>
        </is>
      </c>
      <c r="F9" t="inlineStr">
        <is>
          <t>S. Patel</t>
        </is>
      </c>
      <c r="G9" t="inlineStr">
        <is>
          <t>BrightPath</t>
        </is>
      </c>
      <c r="H9" t="n">
        <v>148</v>
      </c>
      <c r="I9" s="9" t="n">
        <v>45708</v>
      </c>
      <c r="J9" s="9" t="n">
        <v>46213</v>
      </c>
      <c r="K9" s="9" t="n">
        <v>46238</v>
      </c>
      <c r="L9" t="n">
        <v>25</v>
      </c>
      <c r="M9" t="n">
        <v>154778612</v>
      </c>
      <c r="N9" t="n">
        <v>43697017</v>
      </c>
      <c r="O9" t="n">
        <v>3.71</v>
      </c>
      <c r="P9" t="n">
        <v>27.2</v>
      </c>
      <c r="Q9" t="n">
        <v>62.8</v>
      </c>
      <c r="R9" t="inlineStr">
        <is>
          <t>Watch</t>
        </is>
      </c>
      <c r="S9" t="n">
        <v>2026</v>
      </c>
    </row>
    <row r="10">
      <c r="A10" t="inlineStr">
        <is>
          <t>MN8-009</t>
        </is>
      </c>
      <c r="B10" t="inlineStr">
        <is>
          <t>Southeast Battery Project 9</t>
        </is>
      </c>
      <c r="C10" t="inlineStr">
        <is>
          <t>Battery Storage</t>
        </is>
      </c>
      <c r="D10" t="inlineStr">
        <is>
          <t>Southeast</t>
        </is>
      </c>
      <c r="E10" t="inlineStr">
        <is>
          <t>Construction</t>
        </is>
      </c>
      <c r="F10" t="inlineStr">
        <is>
          <t>M. Chen</t>
        </is>
      </c>
      <c r="G10" t="inlineStr">
        <is>
          <t>SunPeak</t>
        </is>
      </c>
      <c r="H10" t="n">
        <v>109</v>
      </c>
      <c r="I10" s="9" t="n">
        <v>45908</v>
      </c>
      <c r="J10" s="9" t="n">
        <v>46438</v>
      </c>
      <c r="K10" s="9" t="n">
        <v>46439</v>
      </c>
      <c r="L10" t="n">
        <v>1</v>
      </c>
      <c r="M10" t="n">
        <v>89147502</v>
      </c>
      <c r="N10" t="n">
        <v>59799044</v>
      </c>
      <c r="O10" t="n">
        <v>-7.37</v>
      </c>
      <c r="P10" t="n">
        <v>72.40000000000001</v>
      </c>
      <c r="Q10" t="n">
        <v>37.2</v>
      </c>
      <c r="R10" t="inlineStr">
        <is>
          <t>Healthy</t>
        </is>
      </c>
      <c r="S10" t="n">
        <v>2027</v>
      </c>
    </row>
    <row r="11">
      <c r="A11" t="inlineStr">
        <is>
          <t>MN8-010</t>
        </is>
      </c>
      <c r="B11" t="inlineStr">
        <is>
          <t>Texas Solar Project 10</t>
        </is>
      </c>
      <c r="C11" t="inlineStr">
        <is>
          <t>Solar PV</t>
        </is>
      </c>
      <c r="D11" t="inlineStr">
        <is>
          <t>Texas</t>
        </is>
      </c>
      <c r="E11" t="inlineStr">
        <is>
          <t>Commissioning</t>
        </is>
      </c>
      <c r="F11" t="inlineStr">
        <is>
          <t>D. Singh</t>
        </is>
      </c>
      <c r="G11" t="inlineStr">
        <is>
          <t>HelioWorks</t>
        </is>
      </c>
      <c r="H11" t="n">
        <v>182</v>
      </c>
      <c r="I11" s="9" t="n">
        <v>45780</v>
      </c>
      <c r="J11" s="9" t="n">
        <v>46068</v>
      </c>
      <c r="K11" s="9" t="n">
        <v>46120</v>
      </c>
      <c r="L11" t="n">
        <v>52</v>
      </c>
      <c r="M11" t="n">
        <v>184230490</v>
      </c>
      <c r="N11" t="n">
        <v>148513330</v>
      </c>
      <c r="O11" t="n">
        <v>-7.63</v>
      </c>
      <c r="P11" t="n">
        <v>87.3</v>
      </c>
      <c r="Q11" t="n">
        <v>59.5</v>
      </c>
      <c r="R11" t="inlineStr">
        <is>
          <t>At Risk</t>
        </is>
      </c>
      <c r="S11" t="n">
        <v>2026</v>
      </c>
    </row>
    <row r="12">
      <c r="A12" t="inlineStr">
        <is>
          <t>MN8-011</t>
        </is>
      </c>
      <c r="B12" t="inlineStr">
        <is>
          <t>Southwest Solar Project 11</t>
        </is>
      </c>
      <c r="C12" t="inlineStr">
        <is>
          <t>Solar PV</t>
        </is>
      </c>
      <c r="D12" t="inlineStr">
        <is>
          <t>Southwest</t>
        </is>
      </c>
      <c r="E12" t="inlineStr">
        <is>
          <t>Construction</t>
        </is>
      </c>
      <c r="F12" t="inlineStr">
        <is>
          <t>S. Patel</t>
        </is>
      </c>
      <c r="G12" t="inlineStr">
        <is>
          <t>GridVolt</t>
        </is>
      </c>
      <c r="H12" t="n">
        <v>244</v>
      </c>
      <c r="I12" s="9" t="n">
        <v>45874</v>
      </c>
      <c r="J12" s="9" t="n">
        <v>46189</v>
      </c>
      <c r="K12" s="9" t="n">
        <v>46210</v>
      </c>
      <c r="L12" t="n">
        <v>21</v>
      </c>
      <c r="M12" t="n">
        <v>234940572</v>
      </c>
      <c r="N12" t="n">
        <v>124406406</v>
      </c>
      <c r="O12" t="n">
        <v>-4.97</v>
      </c>
      <c r="P12" t="n">
        <v>55.7</v>
      </c>
      <c r="Q12" t="n">
        <v>43.3</v>
      </c>
      <c r="R12" t="inlineStr">
        <is>
          <t>Watch</t>
        </is>
      </c>
      <c r="S12" t="n">
        <v>2026</v>
      </c>
    </row>
    <row r="13">
      <c r="A13" t="inlineStr">
        <is>
          <t>MN8-012</t>
        </is>
      </c>
      <c r="B13" t="inlineStr">
        <is>
          <t>Northeast Battery Project 12</t>
        </is>
      </c>
      <c r="C13" t="inlineStr">
        <is>
          <t>Battery Storage</t>
        </is>
      </c>
      <c r="D13" t="inlineStr">
        <is>
          <t>Northeast</t>
        </is>
      </c>
      <c r="E13" t="inlineStr">
        <is>
          <t>Engineering</t>
        </is>
      </c>
      <c r="F13" t="inlineStr">
        <is>
          <t>S. Patel</t>
        </is>
      </c>
      <c r="G13" t="inlineStr">
        <is>
          <t>GridVolt</t>
        </is>
      </c>
      <c r="H13" t="n">
        <v>149</v>
      </c>
      <c r="I13" s="9" t="n">
        <v>45943</v>
      </c>
      <c r="J13" s="9" t="n">
        <v>46308</v>
      </c>
      <c r="K13" s="9" t="n">
        <v>46306</v>
      </c>
      <c r="L13" t="n">
        <v>-2</v>
      </c>
      <c r="M13" t="n">
        <v>118068735</v>
      </c>
      <c r="N13" t="n">
        <v>54713612</v>
      </c>
      <c r="O13" t="n">
        <v>-5.9</v>
      </c>
      <c r="P13" t="n">
        <v>49.2</v>
      </c>
      <c r="Q13" t="n">
        <v>37</v>
      </c>
      <c r="R13" t="inlineStr">
        <is>
          <t>Healthy</t>
        </is>
      </c>
      <c r="S13" t="n">
        <v>2026</v>
      </c>
    </row>
    <row r="14">
      <c r="A14" t="inlineStr">
        <is>
          <t>MN8-013</t>
        </is>
      </c>
      <c r="B14" t="inlineStr">
        <is>
          <t>Texas Battery Project 13</t>
        </is>
      </c>
      <c r="C14" t="inlineStr">
        <is>
          <t>Battery Storage</t>
        </is>
      </c>
      <c r="D14" t="inlineStr">
        <is>
          <t>Texas</t>
        </is>
      </c>
      <c r="E14" t="inlineStr">
        <is>
          <t>Commissioning</t>
        </is>
      </c>
      <c r="F14" t="inlineStr">
        <is>
          <t>L. Kim</t>
        </is>
      </c>
      <c r="G14" t="inlineStr">
        <is>
          <t>StorageCore</t>
        </is>
      </c>
      <c r="H14" t="n">
        <v>68</v>
      </c>
      <c r="I14" s="9" t="n">
        <v>45737</v>
      </c>
      <c r="J14" s="9" t="n">
        <v>45998</v>
      </c>
      <c r="K14" s="9" t="n">
        <v>46019</v>
      </c>
      <c r="L14" t="n">
        <v>21</v>
      </c>
      <c r="M14" t="n">
        <v>61354008</v>
      </c>
      <c r="N14" t="n">
        <v>55575569</v>
      </c>
      <c r="O14" t="n">
        <v>8</v>
      </c>
      <c r="P14" t="n">
        <v>83.90000000000001</v>
      </c>
      <c r="Q14" t="n">
        <v>54.3</v>
      </c>
      <c r="R14" t="inlineStr">
        <is>
          <t>Watch</t>
        </is>
      </c>
      <c r="S14" t="n">
        <v>2025</v>
      </c>
    </row>
    <row r="15">
      <c r="A15" t="inlineStr">
        <is>
          <t>MN8-014</t>
        </is>
      </c>
      <c r="B15" t="inlineStr">
        <is>
          <t>Southwest Battery Project 14</t>
        </is>
      </c>
      <c r="C15" t="inlineStr">
        <is>
          <t>Battery Storage</t>
        </is>
      </c>
      <c r="D15" t="inlineStr">
        <is>
          <t>Southwest</t>
        </is>
      </c>
      <c r="E15" t="inlineStr">
        <is>
          <t>Construction</t>
        </is>
      </c>
      <c r="F15" t="inlineStr">
        <is>
          <t>A. Lopez</t>
        </is>
      </c>
      <c r="G15" t="inlineStr">
        <is>
          <t>SunPeak</t>
        </is>
      </c>
      <c r="H15" t="n">
        <v>159</v>
      </c>
      <c r="I15" s="9" t="n">
        <v>45909</v>
      </c>
      <c r="J15" s="9" t="n">
        <v>46372</v>
      </c>
      <c r="K15" s="9" t="n">
        <v>46327</v>
      </c>
      <c r="L15" t="n">
        <v>-45</v>
      </c>
      <c r="M15" t="n">
        <v>127638574</v>
      </c>
      <c r="N15" t="n">
        <v>115157270</v>
      </c>
      <c r="O15" t="n">
        <v>5.47</v>
      </c>
      <c r="P15" t="n">
        <v>85.5</v>
      </c>
      <c r="Q15" t="n">
        <v>30.1</v>
      </c>
      <c r="R15" t="inlineStr">
        <is>
          <t>Healthy</t>
        </is>
      </c>
      <c r="S15" t="n">
        <v>2026</v>
      </c>
    </row>
    <row r="16">
      <c r="A16" t="inlineStr">
        <is>
          <t>MN8-015</t>
        </is>
      </c>
      <c r="B16" t="inlineStr">
        <is>
          <t>Northeast Battery Project 15</t>
        </is>
      </c>
      <c r="C16" t="inlineStr">
        <is>
          <t>Battery Storage</t>
        </is>
      </c>
      <c r="D16" t="inlineStr">
        <is>
          <t>Northeast</t>
        </is>
      </c>
      <c r="E16" t="inlineStr">
        <is>
          <t>Commissioning</t>
        </is>
      </c>
      <c r="F16" t="inlineStr">
        <is>
          <t>S. Patel</t>
        </is>
      </c>
      <c r="G16" t="inlineStr">
        <is>
          <t>StorageCore</t>
        </is>
      </c>
      <c r="H16" t="n">
        <v>127</v>
      </c>
      <c r="I16" s="9" t="n">
        <v>45698</v>
      </c>
      <c r="J16" s="9" t="n">
        <v>46100</v>
      </c>
      <c r="K16" s="9" t="n">
        <v>46127</v>
      </c>
      <c r="L16" t="n">
        <v>27</v>
      </c>
      <c r="M16" t="n">
        <v>117934237</v>
      </c>
      <c r="N16" t="n">
        <v>103470502</v>
      </c>
      <c r="O16" t="n">
        <v>3.41</v>
      </c>
      <c r="P16" t="n">
        <v>84.8</v>
      </c>
      <c r="Q16" t="n">
        <v>43.1</v>
      </c>
      <c r="R16" t="inlineStr">
        <is>
          <t>Watch</t>
        </is>
      </c>
      <c r="S16" t="n">
        <v>2026</v>
      </c>
    </row>
    <row r="17">
      <c r="A17" t="inlineStr">
        <is>
          <t>MN8-016</t>
        </is>
      </c>
      <c r="B17" t="inlineStr">
        <is>
          <t>Midwest Solar Project 16</t>
        </is>
      </c>
      <c r="C17" t="inlineStr">
        <is>
          <t>Solar PV</t>
        </is>
      </c>
      <c r="D17" t="inlineStr">
        <is>
          <t>Midwest</t>
        </is>
      </c>
      <c r="E17" t="inlineStr">
        <is>
          <t>Operational</t>
        </is>
      </c>
      <c r="F17" t="inlineStr">
        <is>
          <t>M. Chen</t>
        </is>
      </c>
      <c r="G17" t="inlineStr">
        <is>
          <t>BrightPath</t>
        </is>
      </c>
      <c r="H17" t="n">
        <v>125</v>
      </c>
      <c r="I17" s="9" t="n">
        <v>45904</v>
      </c>
      <c r="J17" s="9" t="n">
        <v>46404</v>
      </c>
      <c r="K17" s="9" t="n">
        <v>46386</v>
      </c>
      <c r="L17" t="n">
        <v>-18</v>
      </c>
      <c r="M17" t="n">
        <v>119466162</v>
      </c>
      <c r="N17" t="n">
        <v>113848694</v>
      </c>
      <c r="O17" t="n">
        <v>-4.67</v>
      </c>
      <c r="P17" t="n">
        <v>100</v>
      </c>
      <c r="Q17" t="n">
        <v>8</v>
      </c>
      <c r="R17" t="inlineStr">
        <is>
          <t>Healthy</t>
        </is>
      </c>
      <c r="S17" t="n">
        <v>2026</v>
      </c>
    </row>
    <row r="18">
      <c r="A18" t="inlineStr">
        <is>
          <t>MN8-017</t>
        </is>
      </c>
      <c r="B18" t="inlineStr">
        <is>
          <t>Southeast Battery Project 17</t>
        </is>
      </c>
      <c r="C18" t="inlineStr">
        <is>
          <t>Battery Storage</t>
        </is>
      </c>
      <c r="D18" t="inlineStr">
        <is>
          <t>Southeast</t>
        </is>
      </c>
      <c r="E18" t="inlineStr">
        <is>
          <t>Construction</t>
        </is>
      </c>
      <c r="F18" t="inlineStr">
        <is>
          <t>A. Lopez</t>
        </is>
      </c>
      <c r="G18" t="inlineStr">
        <is>
          <t>BrightPath</t>
        </is>
      </c>
      <c r="H18" t="n">
        <v>81</v>
      </c>
      <c r="I18" s="9" t="n">
        <v>45925</v>
      </c>
      <c r="J18" s="9" t="n">
        <v>46376</v>
      </c>
      <c r="K18" s="9" t="n">
        <v>46433</v>
      </c>
      <c r="L18" t="n">
        <v>57</v>
      </c>
      <c r="M18" t="n">
        <v>65237269</v>
      </c>
      <c r="N18" t="n">
        <v>43320275</v>
      </c>
      <c r="O18" t="n">
        <v>-8.01</v>
      </c>
      <c r="P18" t="n">
        <v>72.2</v>
      </c>
      <c r="Q18" t="n">
        <v>62.4</v>
      </c>
      <c r="R18" t="inlineStr">
        <is>
          <t>At Risk</t>
        </is>
      </c>
      <c r="S18" t="n">
        <v>2027</v>
      </c>
    </row>
    <row r="19">
      <c r="A19" t="inlineStr">
        <is>
          <t>MN8-018</t>
        </is>
      </c>
      <c r="B19" t="inlineStr">
        <is>
          <t>Texas Solar Project 18</t>
        </is>
      </c>
      <c r="C19" t="inlineStr">
        <is>
          <t>Solar PV</t>
        </is>
      </c>
      <c r="D19" t="inlineStr">
        <is>
          <t>Texas</t>
        </is>
      </c>
      <c r="E19" t="inlineStr">
        <is>
          <t>Development</t>
        </is>
      </c>
      <c r="F19" t="inlineStr">
        <is>
          <t>S. Patel</t>
        </is>
      </c>
      <c r="G19" t="inlineStr">
        <is>
          <t>BrightPath</t>
        </is>
      </c>
      <c r="H19" t="n">
        <v>172</v>
      </c>
      <c r="I19" s="9" t="n">
        <v>45785</v>
      </c>
      <c r="J19" s="9" t="n">
        <v>45994</v>
      </c>
      <c r="K19" s="9" t="n">
        <v>45982</v>
      </c>
      <c r="L19" t="n">
        <v>-12</v>
      </c>
      <c r="M19" t="n">
        <v>161216237</v>
      </c>
      <c r="N19" t="n">
        <v>9217346</v>
      </c>
      <c r="O19" t="n">
        <v>-5.02</v>
      </c>
      <c r="P19" t="n">
        <v>6</v>
      </c>
      <c r="Q19" t="n">
        <v>57.2</v>
      </c>
      <c r="R19" t="inlineStr">
        <is>
          <t>Watch</t>
        </is>
      </c>
      <c r="S19" t="n">
        <v>2025</v>
      </c>
    </row>
    <row r="20">
      <c r="A20" t="inlineStr">
        <is>
          <t>MN8-019</t>
        </is>
      </c>
      <c r="B20" t="inlineStr">
        <is>
          <t>Texas Hybrid Project 19</t>
        </is>
      </c>
      <c r="C20" t="inlineStr">
        <is>
          <t>Hybrid Solar + Storage</t>
        </is>
      </c>
      <c r="D20" t="inlineStr">
        <is>
          <t>Texas</t>
        </is>
      </c>
      <c r="E20" t="inlineStr">
        <is>
          <t>Commissioning</t>
        </is>
      </c>
      <c r="F20" t="inlineStr">
        <is>
          <t>S. Patel</t>
        </is>
      </c>
      <c r="G20" t="inlineStr">
        <is>
          <t>StorageCore</t>
        </is>
      </c>
      <c r="H20" t="n">
        <v>137</v>
      </c>
      <c r="I20" s="9" t="n">
        <v>45925</v>
      </c>
      <c r="J20" s="9" t="n">
        <v>46169</v>
      </c>
      <c r="K20" s="9" t="n">
        <v>46150</v>
      </c>
      <c r="L20" t="n">
        <v>-19</v>
      </c>
      <c r="M20" t="n">
        <v>177789618</v>
      </c>
      <c r="N20" t="n">
        <v>168317789</v>
      </c>
      <c r="O20" t="n">
        <v>10.34</v>
      </c>
      <c r="P20" t="n">
        <v>85.8</v>
      </c>
      <c r="Q20" t="n">
        <v>48.1</v>
      </c>
      <c r="R20" t="inlineStr">
        <is>
          <t>Healthy</t>
        </is>
      </c>
      <c r="S20" t="n">
        <v>2026</v>
      </c>
    </row>
    <row r="21">
      <c r="A21" t="inlineStr">
        <is>
          <t>MN8-020</t>
        </is>
      </c>
      <c r="B21" t="inlineStr">
        <is>
          <t>Southeast Hybrid Project 20</t>
        </is>
      </c>
      <c r="C21" t="inlineStr">
        <is>
          <t>Hybrid Solar + Storage</t>
        </is>
      </c>
      <c r="D21" t="inlineStr">
        <is>
          <t>Southeast</t>
        </is>
      </c>
      <c r="E21" t="inlineStr">
        <is>
          <t>Engineering</t>
        </is>
      </c>
      <c r="F21" t="inlineStr">
        <is>
          <t>L. Kim</t>
        </is>
      </c>
      <c r="G21" t="inlineStr">
        <is>
          <t>GridVolt</t>
        </is>
      </c>
      <c r="H21" t="n">
        <v>275</v>
      </c>
      <c r="I21" s="9" t="n">
        <v>45845</v>
      </c>
      <c r="J21" s="9" t="n">
        <v>46301</v>
      </c>
      <c r="K21" s="9" t="n">
        <v>46294</v>
      </c>
      <c r="L21" t="n">
        <v>-7</v>
      </c>
      <c r="M21" t="n">
        <v>354748903</v>
      </c>
      <c r="N21" t="n">
        <v>162165653</v>
      </c>
      <c r="O21" t="n">
        <v>9.74</v>
      </c>
      <c r="P21" t="n">
        <v>41.7</v>
      </c>
      <c r="Q21" t="n">
        <v>58.7</v>
      </c>
      <c r="R21" t="inlineStr">
        <is>
          <t>Watch</t>
        </is>
      </c>
      <c r="S21" t="n">
        <v>2026</v>
      </c>
    </row>
    <row r="22">
      <c r="A22" t="inlineStr">
        <is>
          <t>MN8-021</t>
        </is>
      </c>
      <c r="B22" t="inlineStr">
        <is>
          <t>Southwest Battery Project 21</t>
        </is>
      </c>
      <c r="C22" t="inlineStr">
        <is>
          <t>Battery Storage</t>
        </is>
      </c>
      <c r="D22" t="inlineStr">
        <is>
          <t>Southwest</t>
        </is>
      </c>
      <c r="E22" t="inlineStr">
        <is>
          <t>Operational</t>
        </is>
      </c>
      <c r="F22" t="inlineStr">
        <is>
          <t>A. Lopez</t>
        </is>
      </c>
      <c r="G22" t="inlineStr">
        <is>
          <t>GridVolt</t>
        </is>
      </c>
      <c r="H22" t="n">
        <v>135</v>
      </c>
      <c r="I22" s="9" t="n">
        <v>45886</v>
      </c>
      <c r="J22" s="9" t="n">
        <v>46297</v>
      </c>
      <c r="K22" s="9" t="n">
        <v>46311</v>
      </c>
      <c r="L22" t="n">
        <v>14</v>
      </c>
      <c r="M22" t="n">
        <v>111055734</v>
      </c>
      <c r="N22" t="n">
        <v>115127357</v>
      </c>
      <c r="O22" t="n">
        <v>4.12</v>
      </c>
      <c r="P22" t="n">
        <v>99.59999999999999</v>
      </c>
      <c r="Q22" t="n">
        <v>8</v>
      </c>
      <c r="R22" t="inlineStr">
        <is>
          <t>Healthy</t>
        </is>
      </c>
      <c r="S22" t="n">
        <v>2026</v>
      </c>
    </row>
    <row r="23">
      <c r="A23" t="inlineStr">
        <is>
          <t>MN8-022</t>
        </is>
      </c>
      <c r="B23" t="inlineStr">
        <is>
          <t>Midwest Solar Project 22</t>
        </is>
      </c>
      <c r="C23" t="inlineStr">
        <is>
          <t>Solar PV</t>
        </is>
      </c>
      <c r="D23" t="inlineStr">
        <is>
          <t>Midwest</t>
        </is>
      </c>
      <c r="E23" t="inlineStr">
        <is>
          <t>Development</t>
        </is>
      </c>
      <c r="F23" t="inlineStr">
        <is>
          <t>A. Lopez</t>
        </is>
      </c>
      <c r="G23" t="inlineStr">
        <is>
          <t>SunPeak</t>
        </is>
      </c>
      <c r="H23" t="n">
        <v>221</v>
      </c>
      <c r="I23" s="9" t="n">
        <v>45766</v>
      </c>
      <c r="J23" s="9" t="n">
        <v>46058</v>
      </c>
      <c r="K23" s="9" t="n">
        <v>46070</v>
      </c>
      <c r="L23" t="n">
        <v>12</v>
      </c>
      <c r="M23" t="n">
        <v>199306510</v>
      </c>
      <c r="N23" t="n">
        <v>15805677</v>
      </c>
      <c r="O23" t="n">
        <v>5.22</v>
      </c>
      <c r="P23" t="n">
        <v>7.5</v>
      </c>
      <c r="Q23" t="n">
        <v>62</v>
      </c>
      <c r="R23" t="inlineStr">
        <is>
          <t>Watch</t>
        </is>
      </c>
      <c r="S23" t="n">
        <v>2026</v>
      </c>
    </row>
    <row r="24">
      <c r="A24" t="inlineStr">
        <is>
          <t>MN8-023</t>
        </is>
      </c>
      <c r="B24" t="inlineStr">
        <is>
          <t>Texas Battery Project 23</t>
        </is>
      </c>
      <c r="C24" t="inlineStr">
        <is>
          <t>Battery Storage</t>
        </is>
      </c>
      <c r="D24" t="inlineStr">
        <is>
          <t>Texas</t>
        </is>
      </c>
      <c r="E24" t="inlineStr">
        <is>
          <t>Engineering</t>
        </is>
      </c>
      <c r="F24" t="inlineStr">
        <is>
          <t>S. Patel</t>
        </is>
      </c>
      <c r="G24" t="inlineStr">
        <is>
          <t>HelioWorks</t>
        </is>
      </c>
      <c r="H24" t="n">
        <v>48</v>
      </c>
      <c r="I24" s="9" t="n">
        <v>45811</v>
      </c>
      <c r="J24" s="9" t="n">
        <v>46254</v>
      </c>
      <c r="K24" s="9" t="n">
        <v>46218</v>
      </c>
      <c r="L24" t="n">
        <v>-36</v>
      </c>
      <c r="M24" t="n">
        <v>42531382</v>
      </c>
      <c r="N24" t="n">
        <v>15445262</v>
      </c>
      <c r="O24" t="n">
        <v>4.47</v>
      </c>
      <c r="P24" t="n">
        <v>34.8</v>
      </c>
      <c r="Q24" t="n">
        <v>43.7</v>
      </c>
      <c r="R24" t="inlineStr">
        <is>
          <t>Healthy</t>
        </is>
      </c>
      <c r="S24" t="n">
        <v>2026</v>
      </c>
    </row>
    <row r="25">
      <c r="A25" t="inlineStr">
        <is>
          <t>MN8-024</t>
        </is>
      </c>
      <c r="B25" t="inlineStr">
        <is>
          <t>Southeast Battery Project 24</t>
        </is>
      </c>
      <c r="C25" t="inlineStr">
        <is>
          <t>Battery Storage</t>
        </is>
      </c>
      <c r="D25" t="inlineStr">
        <is>
          <t>Southeast</t>
        </is>
      </c>
      <c r="E25" t="inlineStr">
        <is>
          <t>Construction</t>
        </is>
      </c>
      <c r="F25" t="inlineStr">
        <is>
          <t>R. Johnson</t>
        </is>
      </c>
      <c r="G25" t="inlineStr">
        <is>
          <t>GridVolt</t>
        </is>
      </c>
      <c r="H25" t="n">
        <v>161</v>
      </c>
      <c r="I25" s="9" t="n">
        <v>45773</v>
      </c>
      <c r="J25" s="9" t="n">
        <v>46195</v>
      </c>
      <c r="K25" s="9" t="n">
        <v>46183</v>
      </c>
      <c r="L25" t="n">
        <v>-12</v>
      </c>
      <c r="M25" t="n">
        <v>133229382</v>
      </c>
      <c r="N25" t="n">
        <v>120190502</v>
      </c>
      <c r="O25" t="n">
        <v>3.89</v>
      </c>
      <c r="P25" t="n">
        <v>86.8</v>
      </c>
      <c r="Q25" t="n">
        <v>35.7</v>
      </c>
      <c r="R25" t="inlineStr">
        <is>
          <t>Healthy</t>
        </is>
      </c>
      <c r="S25" t="n">
        <v>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1" customWidth="1" min="4" max="4"/>
    <col width="19" customWidth="1" min="5" max="5"/>
    <col width="22" customWidth="1" min="6" max="6"/>
    <col width="19" customWidth="1" min="7" max="7"/>
    <col width="19" customWidth="1" min="8" max="8"/>
    <col width="18" customWidth="1" min="9" max="9"/>
    <col width="15" customWidth="1" min="10" max="10"/>
  </cols>
  <sheetData>
    <row r="1">
      <c r="A1" s="8" t="inlineStr">
        <is>
          <t>project_id</t>
        </is>
      </c>
      <c r="B1" s="8" t="inlineStr">
        <is>
          <t>month</t>
        </is>
      </c>
      <c r="C1" s="8" t="inlineStr">
        <is>
          <t>planned_progress_pct</t>
        </is>
      </c>
      <c r="D1" s="8" t="inlineStr">
        <is>
          <t>actual_progress_pct</t>
        </is>
      </c>
      <c r="E1" s="8" t="inlineStr">
        <is>
          <t>monthly_capex_usd</t>
        </is>
      </c>
      <c r="F1" s="8" t="inlineStr">
        <is>
          <t>cumulative_spend_usd</t>
        </is>
      </c>
      <c r="G1" s="8" t="inlineStr">
        <is>
          <t>performance_ratio</t>
        </is>
      </c>
      <c r="H1" s="8" t="inlineStr">
        <is>
          <t>irradiance_kwh_m2</t>
        </is>
      </c>
      <c r="I1" s="8" t="inlineStr">
        <is>
          <t>safety_incidents</t>
        </is>
      </c>
      <c r="J1" s="8" t="inlineStr">
        <is>
          <t>change_orders</t>
        </is>
      </c>
    </row>
    <row r="2">
      <c r="A2" t="inlineStr">
        <is>
          <t>MN8-001</t>
        </is>
      </c>
      <c r="B2" s="9" t="n">
        <v>45931</v>
      </c>
      <c r="C2" t="n">
        <v>59.9</v>
      </c>
      <c r="D2" t="n">
        <v>55.5</v>
      </c>
      <c r="E2" t="n">
        <v>11805639</v>
      </c>
      <c r="F2" t="n">
        <v>66841982</v>
      </c>
      <c r="G2" t="n">
        <v>0.9320000000000001</v>
      </c>
      <c r="H2" t="n">
        <v/>
      </c>
      <c r="I2" t="n">
        <v>0</v>
      </c>
      <c r="J2" t="n">
        <v>2</v>
      </c>
    </row>
    <row r="3">
      <c r="A3" t="inlineStr">
        <is>
          <t>MN8-001</t>
        </is>
      </c>
      <c r="B3" s="9" t="n">
        <v>45962</v>
      </c>
      <c r="C3" t="n">
        <v>74.2</v>
      </c>
      <c r="D3" t="n">
        <v>67.3</v>
      </c>
      <c r="E3" t="n">
        <v>13157202</v>
      </c>
      <c r="F3" t="n">
        <v>69928167</v>
      </c>
      <c r="G3" t="n">
        <v>0.954</v>
      </c>
      <c r="H3" t="n">
        <v/>
      </c>
      <c r="I3" t="n">
        <v>0</v>
      </c>
      <c r="J3" t="n">
        <v>2</v>
      </c>
    </row>
    <row r="4">
      <c r="A4" t="inlineStr">
        <is>
          <t>MN8-001</t>
        </is>
      </c>
      <c r="B4" s="9" t="n">
        <v>45992</v>
      </c>
      <c r="C4" t="n">
        <v>78.2</v>
      </c>
      <c r="D4" t="n">
        <v>78.2</v>
      </c>
      <c r="E4" t="n">
        <v>20429811</v>
      </c>
      <c r="F4" t="n">
        <v>72900501</v>
      </c>
      <c r="G4" t="n">
        <v>0.894</v>
      </c>
      <c r="H4" t="n">
        <v/>
      </c>
      <c r="I4" t="n">
        <v>0</v>
      </c>
      <c r="J4" t="n">
        <v>2</v>
      </c>
    </row>
    <row r="5">
      <c r="A5" t="inlineStr">
        <is>
          <t>MN8-001</t>
        </is>
      </c>
      <c r="B5" s="9" t="n">
        <v>46023</v>
      </c>
      <c r="C5" t="n">
        <v>92.40000000000001</v>
      </c>
      <c r="D5" t="n">
        <v>90</v>
      </c>
      <c r="E5" t="n">
        <v>9029585</v>
      </c>
      <c r="F5" t="n">
        <v>75839508</v>
      </c>
      <c r="G5" t="n">
        <v>0.959</v>
      </c>
      <c r="H5" t="n">
        <v/>
      </c>
      <c r="I5" t="n">
        <v>0</v>
      </c>
      <c r="J5" t="n">
        <v>0</v>
      </c>
    </row>
    <row r="6">
      <c r="A6" t="inlineStr">
        <is>
          <t>MN8-001</t>
        </is>
      </c>
      <c r="B6" s="9" t="n">
        <v>46054</v>
      </c>
      <c r="C6" t="n">
        <v>100</v>
      </c>
      <c r="D6" t="n">
        <v>100</v>
      </c>
      <c r="E6" t="n">
        <v>12995904</v>
      </c>
      <c r="F6" t="n">
        <v>72670475</v>
      </c>
      <c r="G6" t="n">
        <v>0.945</v>
      </c>
      <c r="H6" t="n">
        <v/>
      </c>
      <c r="I6" t="n">
        <v>1</v>
      </c>
      <c r="J6" t="n">
        <v>1</v>
      </c>
    </row>
    <row r="7">
      <c r="A7" t="inlineStr">
        <is>
          <t>MN8-001</t>
        </is>
      </c>
      <c r="B7" s="9" t="n">
        <v>46082</v>
      </c>
      <c r="C7" t="n">
        <v>100</v>
      </c>
      <c r="D7" t="n">
        <v>100</v>
      </c>
      <c r="E7" t="n">
        <v>15143390</v>
      </c>
      <c r="F7" t="n">
        <v>75843229</v>
      </c>
      <c r="G7" t="n">
        <v>0.9320000000000001</v>
      </c>
      <c r="H7" t="n">
        <v/>
      </c>
      <c r="I7" t="n">
        <v>0</v>
      </c>
      <c r="J7" t="n">
        <v>1</v>
      </c>
    </row>
    <row r="8">
      <c r="A8" t="inlineStr">
        <is>
          <t>MN8-002</t>
        </is>
      </c>
      <c r="B8" s="9" t="n">
        <v>45931</v>
      </c>
      <c r="C8" t="n">
        <v>3.2</v>
      </c>
      <c r="D8" t="n">
        <v>7.7</v>
      </c>
      <c r="E8" t="n">
        <v>15526516</v>
      </c>
      <c r="F8" t="n">
        <v>11212081</v>
      </c>
      <c r="G8" t="n">
        <v>0.824</v>
      </c>
      <c r="H8" t="n">
        <v>5.91</v>
      </c>
      <c r="I8" t="n">
        <v>0</v>
      </c>
      <c r="J8" t="n">
        <v>0</v>
      </c>
    </row>
    <row r="9">
      <c r="A9" t="inlineStr">
        <is>
          <t>MN8-002</t>
        </is>
      </c>
      <c r="B9" s="9" t="n">
        <v>45962</v>
      </c>
      <c r="C9" t="n">
        <v>16.1</v>
      </c>
      <c r="D9" t="n">
        <v>16.5</v>
      </c>
      <c r="E9" t="n">
        <v>10082938</v>
      </c>
      <c r="F9" t="n">
        <v>11182061</v>
      </c>
      <c r="G9" t="n">
        <v>0.882</v>
      </c>
      <c r="H9" t="n">
        <v>4.83</v>
      </c>
      <c r="I9" t="n">
        <v>0</v>
      </c>
      <c r="J9" t="n">
        <v>0</v>
      </c>
    </row>
    <row r="10">
      <c r="A10" t="inlineStr">
        <is>
          <t>MN8-002</t>
        </is>
      </c>
      <c r="B10" s="9" t="n">
        <v>45992</v>
      </c>
      <c r="C10" t="n">
        <v>30.4</v>
      </c>
      <c r="D10" t="n">
        <v>27.1</v>
      </c>
      <c r="E10" t="n">
        <v>19715167</v>
      </c>
      <c r="F10" t="n">
        <v>11319117</v>
      </c>
      <c r="G10" t="n">
        <v>0.852</v>
      </c>
      <c r="H10" t="n">
        <v>5.14</v>
      </c>
      <c r="I10" t="n">
        <v>0</v>
      </c>
      <c r="J10" t="n">
        <v>0</v>
      </c>
    </row>
    <row r="11">
      <c r="A11" t="inlineStr">
        <is>
          <t>MN8-002</t>
        </is>
      </c>
      <c r="B11" s="9" t="n">
        <v>46023</v>
      </c>
      <c r="C11" t="n">
        <v>35.6</v>
      </c>
      <c r="D11" t="n">
        <v>39.6</v>
      </c>
      <c r="E11" t="n">
        <v>8447476</v>
      </c>
      <c r="F11" t="n">
        <v>11319117</v>
      </c>
      <c r="G11" t="n">
        <v>0.89</v>
      </c>
      <c r="H11" t="n">
        <v>6.22</v>
      </c>
      <c r="I11" t="n">
        <v>0</v>
      </c>
      <c r="J11" t="n">
        <v>0</v>
      </c>
    </row>
    <row r="12">
      <c r="A12" t="inlineStr">
        <is>
          <t>MN8-002</t>
        </is>
      </c>
      <c r="B12" s="9" t="n">
        <v>46054</v>
      </c>
      <c r="C12" t="n">
        <v>50.2</v>
      </c>
      <c r="D12" t="n">
        <v>45.9</v>
      </c>
      <c r="E12" t="n">
        <v>18655613</v>
      </c>
      <c r="F12" t="n">
        <v>10825506</v>
      </c>
      <c r="G12" t="n">
        <v>0.905</v>
      </c>
      <c r="H12" t="n">
        <v>6.34</v>
      </c>
      <c r="I12" t="n">
        <v>0</v>
      </c>
      <c r="J12" t="n">
        <v>1</v>
      </c>
    </row>
    <row r="13">
      <c r="A13" t="inlineStr">
        <is>
          <t>MN8-002</t>
        </is>
      </c>
      <c r="B13" s="9" t="n">
        <v>46082</v>
      </c>
      <c r="C13" t="n">
        <v>47.8</v>
      </c>
      <c r="D13" t="n">
        <v>49.5</v>
      </c>
      <c r="E13" t="n">
        <v>13763774</v>
      </c>
      <c r="F13" t="n">
        <v>11319117</v>
      </c>
      <c r="G13" t="n">
        <v>0.792</v>
      </c>
      <c r="H13" t="n">
        <v>4.54</v>
      </c>
      <c r="I13" t="n">
        <v>0</v>
      </c>
      <c r="J13" t="n">
        <v>0</v>
      </c>
    </row>
    <row r="14">
      <c r="A14" t="inlineStr">
        <is>
          <t>MN8-003</t>
        </is>
      </c>
      <c r="B14" s="9" t="n">
        <v>45931</v>
      </c>
      <c r="C14" t="n">
        <v>44.2</v>
      </c>
      <c r="D14" t="n">
        <v>43</v>
      </c>
      <c r="E14" t="n">
        <v>14557981</v>
      </c>
      <c r="F14" t="n">
        <v>84397184</v>
      </c>
      <c r="G14" t="n">
        <v>0.912</v>
      </c>
      <c r="H14" t="n">
        <v/>
      </c>
      <c r="I14" t="n">
        <v>0</v>
      </c>
      <c r="J14" t="n">
        <v>1</v>
      </c>
    </row>
    <row r="15">
      <c r="A15" t="inlineStr">
        <is>
          <t>MN8-003</t>
        </is>
      </c>
      <c r="B15" s="9" t="n">
        <v>45962</v>
      </c>
      <c r="C15" t="n">
        <v>45.2</v>
      </c>
      <c r="D15" t="n">
        <v>45.4</v>
      </c>
      <c r="E15" t="n">
        <v>24346704</v>
      </c>
      <c r="F15" t="n">
        <v>88695459</v>
      </c>
      <c r="G15" t="n">
        <v>0.949</v>
      </c>
      <c r="H15" t="n">
        <v/>
      </c>
      <c r="I15" t="n">
        <v>0</v>
      </c>
      <c r="J15" t="n">
        <v>0</v>
      </c>
    </row>
    <row r="16">
      <c r="A16" t="inlineStr">
        <is>
          <t>MN8-003</t>
        </is>
      </c>
      <c r="B16" s="9" t="n">
        <v>45992</v>
      </c>
      <c r="C16" t="n">
        <v>52.3</v>
      </c>
      <c r="D16" t="n">
        <v>49.7</v>
      </c>
      <c r="E16" t="n">
        <v>31144958</v>
      </c>
      <c r="F16" t="n">
        <v>89541897</v>
      </c>
      <c r="G16" t="n">
        <v>0.911</v>
      </c>
      <c r="H16" t="n">
        <v/>
      </c>
      <c r="I16" t="n">
        <v>0</v>
      </c>
      <c r="J16" t="n">
        <v>0</v>
      </c>
    </row>
    <row r="17">
      <c r="A17" t="inlineStr">
        <is>
          <t>MN8-003</t>
        </is>
      </c>
      <c r="B17" s="9" t="n">
        <v>46023</v>
      </c>
      <c r="C17" t="n">
        <v>65.8</v>
      </c>
      <c r="D17" t="n">
        <v>58.5</v>
      </c>
      <c r="E17" t="n">
        <v>19161957</v>
      </c>
      <c r="F17" t="n">
        <v>90008895</v>
      </c>
      <c r="G17" t="n">
        <v>0.952</v>
      </c>
      <c r="H17" t="n">
        <v/>
      </c>
      <c r="I17" t="n">
        <v>0</v>
      </c>
      <c r="J17" t="n">
        <v>0</v>
      </c>
    </row>
    <row r="18">
      <c r="A18" t="inlineStr">
        <is>
          <t>MN8-003</t>
        </is>
      </c>
      <c r="B18" s="9" t="n">
        <v>46054</v>
      </c>
      <c r="C18" t="n">
        <v>61.6</v>
      </c>
      <c r="D18" t="n">
        <v>62.4</v>
      </c>
      <c r="E18" t="n">
        <v>29082909</v>
      </c>
      <c r="F18" t="n">
        <v>83080492</v>
      </c>
      <c r="G18" t="n">
        <v>0.945</v>
      </c>
      <c r="H18" t="n">
        <v/>
      </c>
      <c r="I18" t="n">
        <v>0</v>
      </c>
      <c r="J18" t="n">
        <v>0</v>
      </c>
    </row>
    <row r="19">
      <c r="A19" t="inlineStr">
        <is>
          <t>MN8-003</t>
        </is>
      </c>
      <c r="B19" s="9" t="n">
        <v>46082</v>
      </c>
      <c r="C19" t="n">
        <v>76</v>
      </c>
      <c r="D19" t="n">
        <v>72.8</v>
      </c>
      <c r="E19" t="n">
        <v>29787812</v>
      </c>
      <c r="F19" t="n">
        <v>90008895</v>
      </c>
      <c r="G19" t="n">
        <v>0.944</v>
      </c>
      <c r="H19" t="n">
        <v/>
      </c>
      <c r="I19" t="n">
        <v>0</v>
      </c>
      <c r="J19" t="n">
        <v>0</v>
      </c>
    </row>
    <row r="20">
      <c r="A20" t="inlineStr">
        <is>
          <t>MN8-004</t>
        </is>
      </c>
      <c r="B20" s="9" t="n">
        <v>45931</v>
      </c>
      <c r="C20" t="n">
        <v>21</v>
      </c>
      <c r="D20" t="n">
        <v>15.9</v>
      </c>
      <c r="E20" t="n">
        <v>21390422</v>
      </c>
      <c r="F20" t="n">
        <v>64151094</v>
      </c>
      <c r="G20" t="n">
        <v>0.893</v>
      </c>
      <c r="H20" t="n">
        <v>5.44</v>
      </c>
      <c r="I20" t="n">
        <v>0</v>
      </c>
      <c r="J20" t="n">
        <v>1</v>
      </c>
    </row>
    <row r="21">
      <c r="A21" t="inlineStr">
        <is>
          <t>MN8-004</t>
        </is>
      </c>
      <c r="B21" s="9" t="n">
        <v>45962</v>
      </c>
      <c r="C21" t="n">
        <v>24.7</v>
      </c>
      <c r="D21" t="n">
        <v>18</v>
      </c>
      <c r="E21" t="n">
        <v>25574075</v>
      </c>
      <c r="F21" t="n">
        <v>64151094</v>
      </c>
      <c r="G21" t="n">
        <v>0.828</v>
      </c>
      <c r="H21" t="n">
        <v>6.8</v>
      </c>
      <c r="I21" t="n">
        <v>0</v>
      </c>
      <c r="J21" t="n">
        <v>0</v>
      </c>
    </row>
    <row r="22">
      <c r="A22" t="inlineStr">
        <is>
          <t>MN8-004</t>
        </is>
      </c>
      <c r="B22" s="9" t="n">
        <v>45992</v>
      </c>
      <c r="C22" t="n">
        <v>36.2</v>
      </c>
      <c r="D22" t="n">
        <v>28.9</v>
      </c>
      <c r="E22" t="n">
        <v>36904102</v>
      </c>
      <c r="F22" t="n">
        <v>63801273</v>
      </c>
      <c r="G22" t="n">
        <v>0.866</v>
      </c>
      <c r="H22" t="n">
        <v>5.5</v>
      </c>
      <c r="I22" t="n">
        <v>0</v>
      </c>
      <c r="J22" t="n">
        <v>0</v>
      </c>
    </row>
    <row r="23">
      <c r="A23" t="inlineStr">
        <is>
          <t>MN8-004</t>
        </is>
      </c>
      <c r="B23" s="9" t="n">
        <v>46023</v>
      </c>
      <c r="C23" t="n">
        <v>41.8</v>
      </c>
      <c r="D23" t="n">
        <v>37</v>
      </c>
      <c r="E23" t="n">
        <v>32858355</v>
      </c>
      <c r="F23" t="n">
        <v>64151094</v>
      </c>
      <c r="G23" t="n">
        <v>0.801</v>
      </c>
      <c r="H23" t="n">
        <v>5.63</v>
      </c>
      <c r="I23" t="n">
        <v>0</v>
      </c>
      <c r="J23" t="n">
        <v>0</v>
      </c>
    </row>
    <row r="24">
      <c r="A24" t="inlineStr">
        <is>
          <t>MN8-004</t>
        </is>
      </c>
      <c r="B24" s="9" t="n">
        <v>46054</v>
      </c>
      <c r="C24" t="n">
        <v>40.6</v>
      </c>
      <c r="D24" t="n">
        <v>44.1</v>
      </c>
      <c r="E24" t="n">
        <v>16357999</v>
      </c>
      <c r="F24" t="n">
        <v>64151094</v>
      </c>
      <c r="G24" t="n">
        <v>0.864</v>
      </c>
      <c r="H24" t="n">
        <v>4.49</v>
      </c>
      <c r="I24" t="n">
        <v>0</v>
      </c>
      <c r="J24" t="n">
        <v>1</v>
      </c>
    </row>
    <row r="25">
      <c r="A25" t="inlineStr">
        <is>
          <t>MN8-004</t>
        </is>
      </c>
      <c r="B25" s="9" t="n">
        <v>46082</v>
      </c>
      <c r="C25" t="n">
        <v>56.7</v>
      </c>
      <c r="D25" t="n">
        <v>51</v>
      </c>
      <c r="E25" t="n">
        <v>30687348</v>
      </c>
      <c r="F25" t="n">
        <v>59697426</v>
      </c>
      <c r="G25" t="n">
        <v>0.8</v>
      </c>
      <c r="H25" t="n">
        <v>7.06</v>
      </c>
      <c r="I25" t="n">
        <v>0</v>
      </c>
      <c r="J25" t="n">
        <v>0</v>
      </c>
    </row>
    <row r="26">
      <c r="A26" t="inlineStr">
        <is>
          <t>MN8-005</t>
        </is>
      </c>
      <c r="B26" s="9" t="n">
        <v>45931</v>
      </c>
      <c r="C26" t="n">
        <v>16.8</v>
      </c>
      <c r="D26" t="n">
        <v>20.7</v>
      </c>
      <c r="E26" t="n">
        <v>33542888</v>
      </c>
      <c r="F26" t="n">
        <v>71667429</v>
      </c>
      <c r="G26" t="n">
        <v>0.861</v>
      </c>
      <c r="H26" t="n">
        <v>6.54</v>
      </c>
      <c r="I26" t="n">
        <v>0</v>
      </c>
      <c r="J26" t="n">
        <v>0</v>
      </c>
    </row>
    <row r="27">
      <c r="A27" t="inlineStr">
        <is>
          <t>MN8-005</t>
        </is>
      </c>
      <c r="B27" s="9" t="n">
        <v>45962</v>
      </c>
      <c r="C27" t="n">
        <v>29.6</v>
      </c>
      <c r="D27" t="n">
        <v>28.5</v>
      </c>
      <c r="E27" t="n">
        <v>14610706</v>
      </c>
      <c r="F27" t="n">
        <v>67541342</v>
      </c>
      <c r="G27" t="n">
        <v>0.824</v>
      </c>
      <c r="H27" t="n">
        <v>5.82</v>
      </c>
      <c r="I27" t="n">
        <v>0</v>
      </c>
      <c r="J27" t="n">
        <v>1</v>
      </c>
    </row>
    <row r="28">
      <c r="A28" t="inlineStr">
        <is>
          <t>MN8-005</t>
        </is>
      </c>
      <c r="B28" s="9" t="n">
        <v>45992</v>
      </c>
      <c r="C28" t="n">
        <v>43.1</v>
      </c>
      <c r="D28" t="n">
        <v>36.8</v>
      </c>
      <c r="E28" t="n">
        <v>19004465</v>
      </c>
      <c r="F28" t="n">
        <v>72202263</v>
      </c>
      <c r="G28" t="n">
        <v>0.8110000000000001</v>
      </c>
      <c r="H28" t="n">
        <v>6.72</v>
      </c>
      <c r="I28" t="n">
        <v>0</v>
      </c>
      <c r="J28" t="n">
        <v>1</v>
      </c>
    </row>
    <row r="29">
      <c r="A29" t="inlineStr">
        <is>
          <t>MN8-005</t>
        </is>
      </c>
      <c r="B29" s="9" t="n">
        <v>46023</v>
      </c>
      <c r="C29" t="n">
        <v>51.2</v>
      </c>
      <c r="D29" t="n">
        <v>43.3</v>
      </c>
      <c r="E29" t="n">
        <v>15070149</v>
      </c>
      <c r="F29" t="n">
        <v>71624721</v>
      </c>
      <c r="G29" t="n">
        <v>0.926</v>
      </c>
      <c r="H29" t="n">
        <v>5.46</v>
      </c>
      <c r="I29" t="n">
        <v>0</v>
      </c>
      <c r="J29" t="n">
        <v>1</v>
      </c>
    </row>
    <row r="30">
      <c r="A30" t="inlineStr">
        <is>
          <t>MN8-005</t>
        </is>
      </c>
      <c r="B30" s="9" t="n">
        <v>46054</v>
      </c>
      <c r="C30" t="n">
        <v>60.9</v>
      </c>
      <c r="D30" t="n">
        <v>54.2</v>
      </c>
      <c r="E30" t="n">
        <v>14325562</v>
      </c>
      <c r="F30" t="n">
        <v>69063285</v>
      </c>
      <c r="G30" t="n">
        <v>0.924</v>
      </c>
      <c r="H30" t="n">
        <v>6.49</v>
      </c>
      <c r="I30" t="n">
        <v>0</v>
      </c>
      <c r="J30" t="n">
        <v>1</v>
      </c>
    </row>
    <row r="31">
      <c r="A31" t="inlineStr">
        <is>
          <t>MN8-005</t>
        </is>
      </c>
      <c r="B31" s="9" t="n">
        <v>46082</v>
      </c>
      <c r="C31" t="n">
        <v>62.7</v>
      </c>
      <c r="D31" t="n">
        <v>65.3</v>
      </c>
      <c r="E31" t="n">
        <v>25310501</v>
      </c>
      <c r="F31" t="n">
        <v>69742750</v>
      </c>
      <c r="G31" t="n">
        <v>0.88</v>
      </c>
      <c r="H31" t="n">
        <v>4.22</v>
      </c>
      <c r="I31" t="n">
        <v>2</v>
      </c>
      <c r="J31" t="n">
        <v>3</v>
      </c>
    </row>
    <row r="32">
      <c r="A32" t="inlineStr">
        <is>
          <t>MN8-006</t>
        </is>
      </c>
      <c r="B32" s="9" t="n">
        <v>45931</v>
      </c>
      <c r="C32" t="n">
        <v>75.2</v>
      </c>
      <c r="D32" t="n">
        <v>78</v>
      </c>
      <c r="E32" t="n">
        <v>28610513</v>
      </c>
      <c r="F32" t="n">
        <v>113269689</v>
      </c>
      <c r="G32" t="n">
        <v>0.956</v>
      </c>
      <c r="H32" t="n">
        <v/>
      </c>
      <c r="I32" t="n">
        <v>0</v>
      </c>
      <c r="J32" t="n">
        <v>1</v>
      </c>
    </row>
    <row r="33">
      <c r="A33" t="inlineStr">
        <is>
          <t>MN8-006</t>
        </is>
      </c>
      <c r="B33" s="9" t="n">
        <v>45962</v>
      </c>
      <c r="C33" t="n">
        <v>95.2</v>
      </c>
      <c r="D33" t="n">
        <v>88.09999999999999</v>
      </c>
      <c r="E33" t="n">
        <v>27700784</v>
      </c>
      <c r="F33" t="n">
        <v>106786829</v>
      </c>
      <c r="G33" t="n">
        <v>0.882</v>
      </c>
      <c r="H33" t="n">
        <v/>
      </c>
      <c r="I33" t="n">
        <v>0</v>
      </c>
      <c r="J33" t="n">
        <v>1</v>
      </c>
    </row>
    <row r="34">
      <c r="A34" t="inlineStr">
        <is>
          <t>MN8-006</t>
        </is>
      </c>
      <c r="B34" s="9" t="n">
        <v>45992</v>
      </c>
      <c r="C34" t="n">
        <v>100</v>
      </c>
      <c r="D34" t="n">
        <v>100</v>
      </c>
      <c r="E34" t="n">
        <v>29806644</v>
      </c>
      <c r="F34" t="n">
        <v>115335692</v>
      </c>
      <c r="G34" t="n">
        <v>0.947</v>
      </c>
      <c r="H34" t="n">
        <v/>
      </c>
      <c r="I34" t="n">
        <v>0</v>
      </c>
      <c r="J34" t="n">
        <v>0</v>
      </c>
    </row>
    <row r="35">
      <c r="A35" t="inlineStr">
        <is>
          <t>MN8-006</t>
        </is>
      </c>
      <c r="B35" s="9" t="n">
        <v>46023</v>
      </c>
      <c r="C35" t="n">
        <v>95.7</v>
      </c>
      <c r="D35" t="n">
        <v>100</v>
      </c>
      <c r="E35" t="n">
        <v>27673581</v>
      </c>
      <c r="F35" t="n">
        <v>115335692</v>
      </c>
      <c r="G35" t="n">
        <v>0.96</v>
      </c>
      <c r="H35" t="n">
        <v/>
      </c>
      <c r="I35" t="n">
        <v>2</v>
      </c>
      <c r="J35" t="n">
        <v>1</v>
      </c>
    </row>
    <row r="36">
      <c r="A36" t="inlineStr">
        <is>
          <t>MN8-006</t>
        </is>
      </c>
      <c r="B36" s="9" t="n">
        <v>46054</v>
      </c>
      <c r="C36" t="n">
        <v>96.7</v>
      </c>
      <c r="D36" t="n">
        <v>100</v>
      </c>
      <c r="E36" t="n">
        <v>29484970</v>
      </c>
      <c r="F36" t="n">
        <v>115197601</v>
      </c>
      <c r="G36" t="n">
        <v>0.898</v>
      </c>
      <c r="H36" t="n">
        <v/>
      </c>
      <c r="I36" t="n">
        <v>0</v>
      </c>
      <c r="J36" t="n">
        <v>1</v>
      </c>
    </row>
    <row r="37">
      <c r="A37" t="inlineStr">
        <is>
          <t>MN8-006</t>
        </is>
      </c>
      <c r="B37" s="9" t="n">
        <v>46082</v>
      </c>
      <c r="C37" t="n">
        <v>96.5</v>
      </c>
      <c r="D37" t="n">
        <v>100</v>
      </c>
      <c r="E37" t="n">
        <v>23756938</v>
      </c>
      <c r="F37" t="n">
        <v>113910143</v>
      </c>
      <c r="G37" t="n">
        <v>0.9419999999999999</v>
      </c>
      <c r="H37" t="n">
        <v/>
      </c>
      <c r="I37" t="n">
        <v>0</v>
      </c>
      <c r="J37" t="n">
        <v>1</v>
      </c>
    </row>
    <row r="38">
      <c r="A38" t="inlineStr">
        <is>
          <t>MN8-007</t>
        </is>
      </c>
      <c r="B38" s="9" t="n">
        <v>45931</v>
      </c>
      <c r="C38" t="n">
        <v>78.09999999999999</v>
      </c>
      <c r="D38" t="n">
        <v>82.7</v>
      </c>
      <c r="E38" t="n">
        <v>16832045</v>
      </c>
      <c r="F38" t="n">
        <v>80539903</v>
      </c>
      <c r="G38" t="n">
        <v>0.9360000000000001</v>
      </c>
      <c r="H38" t="n">
        <v/>
      </c>
      <c r="I38" t="n">
        <v>0</v>
      </c>
      <c r="J38" t="n">
        <v>0</v>
      </c>
    </row>
    <row r="39">
      <c r="A39" t="inlineStr">
        <is>
          <t>MN8-007</t>
        </is>
      </c>
      <c r="B39" s="9" t="n">
        <v>45962</v>
      </c>
      <c r="C39" t="n">
        <v>86</v>
      </c>
      <c r="D39" t="n">
        <v>86.5</v>
      </c>
      <c r="E39" t="n">
        <v>14616364</v>
      </c>
      <c r="F39" t="n">
        <v>83567847</v>
      </c>
      <c r="G39" t="n">
        <v>0.915</v>
      </c>
      <c r="H39" t="n">
        <v/>
      </c>
      <c r="I39" t="n">
        <v>1</v>
      </c>
      <c r="J39" t="n">
        <v>0</v>
      </c>
    </row>
    <row r="40">
      <c r="A40" t="inlineStr">
        <is>
          <t>MN8-007</t>
        </is>
      </c>
      <c r="B40" s="9" t="n">
        <v>45992</v>
      </c>
      <c r="C40" t="n">
        <v>96.8</v>
      </c>
      <c r="D40" t="n">
        <v>93.7</v>
      </c>
      <c r="E40" t="n">
        <v>18270008</v>
      </c>
      <c r="F40" t="n">
        <v>86064428</v>
      </c>
      <c r="G40" t="n">
        <v>0.892</v>
      </c>
      <c r="H40" t="n">
        <v/>
      </c>
      <c r="I40" t="n">
        <v>1</v>
      </c>
      <c r="J40" t="n">
        <v>0</v>
      </c>
    </row>
    <row r="41">
      <c r="A41" t="inlineStr">
        <is>
          <t>MN8-007</t>
        </is>
      </c>
      <c r="B41" s="9" t="n">
        <v>46023</v>
      </c>
      <c r="C41" t="n">
        <v>100</v>
      </c>
      <c r="D41" t="n">
        <v>100</v>
      </c>
      <c r="E41" t="n">
        <v>19848008</v>
      </c>
      <c r="F41" t="n">
        <v>84690870</v>
      </c>
      <c r="G41" t="n">
        <v>0.906</v>
      </c>
      <c r="H41" t="n">
        <v/>
      </c>
      <c r="I41" t="n">
        <v>0</v>
      </c>
      <c r="J41" t="n">
        <v>0</v>
      </c>
    </row>
    <row r="42">
      <c r="A42" t="inlineStr">
        <is>
          <t>MN8-007</t>
        </is>
      </c>
      <c r="B42" s="9" t="n">
        <v>46054</v>
      </c>
      <c r="C42" t="n">
        <v>99.5</v>
      </c>
      <c r="D42" t="n">
        <v>100</v>
      </c>
      <c r="E42" t="n">
        <v>18731661</v>
      </c>
      <c r="F42" t="n">
        <v>84482135</v>
      </c>
      <c r="G42" t="n">
        <v>0.9330000000000001</v>
      </c>
      <c r="H42" t="n">
        <v/>
      </c>
      <c r="I42" t="n">
        <v>0</v>
      </c>
      <c r="J42" t="n">
        <v>0</v>
      </c>
    </row>
    <row r="43">
      <c r="A43" t="inlineStr">
        <is>
          <t>MN8-007</t>
        </is>
      </c>
      <c r="B43" s="9" t="n">
        <v>46082</v>
      </c>
      <c r="C43" t="n">
        <v>97.2</v>
      </c>
      <c r="D43" t="n">
        <v>100</v>
      </c>
      <c r="E43" t="n">
        <v>10441302</v>
      </c>
      <c r="F43" t="n">
        <v>81159734</v>
      </c>
      <c r="G43" t="n">
        <v>0.887</v>
      </c>
      <c r="H43" t="n">
        <v/>
      </c>
      <c r="I43" t="n">
        <v>0</v>
      </c>
      <c r="J43" t="n">
        <v>0</v>
      </c>
    </row>
    <row r="44">
      <c r="A44" t="inlineStr">
        <is>
          <t>MN8-008</t>
        </is>
      </c>
      <c r="B44" s="9" t="n">
        <v>45931</v>
      </c>
      <c r="C44" t="n">
        <v>21.5</v>
      </c>
      <c r="D44" t="n">
        <v>16.1</v>
      </c>
      <c r="E44" t="n">
        <v>29095809</v>
      </c>
      <c r="F44" t="n">
        <v>40665697</v>
      </c>
      <c r="G44" t="n">
        <v>0.895</v>
      </c>
      <c r="H44" t="n">
        <v>6.87</v>
      </c>
      <c r="I44" t="n">
        <v>0</v>
      </c>
      <c r="J44" t="n">
        <v>0</v>
      </c>
    </row>
    <row r="45">
      <c r="A45" t="inlineStr">
        <is>
          <t>MN8-008</t>
        </is>
      </c>
      <c r="B45" s="9" t="n">
        <v>45962</v>
      </c>
      <c r="C45" t="n">
        <v>31.7</v>
      </c>
      <c r="D45" t="n">
        <v>27</v>
      </c>
      <c r="E45" t="n">
        <v>17658202</v>
      </c>
      <c r="F45" t="n">
        <v>41390488</v>
      </c>
      <c r="G45" t="n">
        <v>0.834</v>
      </c>
      <c r="H45" t="n">
        <v>5.61</v>
      </c>
      <c r="I45" t="n">
        <v>0</v>
      </c>
      <c r="J45" t="n">
        <v>0</v>
      </c>
    </row>
    <row r="46">
      <c r="A46" t="inlineStr">
        <is>
          <t>MN8-008</t>
        </is>
      </c>
      <c r="B46" s="9" t="n">
        <v>45992</v>
      </c>
      <c r="C46" t="n">
        <v>43.8</v>
      </c>
      <c r="D46" t="n">
        <v>37.1</v>
      </c>
      <c r="E46" t="n">
        <v>26097672</v>
      </c>
      <c r="F46" t="n">
        <v>43223986</v>
      </c>
      <c r="G46" t="n">
        <v>0.803</v>
      </c>
      <c r="H46" t="n">
        <v>5.5</v>
      </c>
      <c r="I46" t="n">
        <v>0</v>
      </c>
      <c r="J46" t="n">
        <v>0</v>
      </c>
    </row>
    <row r="47">
      <c r="A47" t="inlineStr">
        <is>
          <t>MN8-008</t>
        </is>
      </c>
      <c r="B47" s="9" t="n">
        <v>46023</v>
      </c>
      <c r="C47" t="n">
        <v>41</v>
      </c>
      <c r="D47" t="n">
        <v>41.1</v>
      </c>
      <c r="E47" t="n">
        <v>13415983</v>
      </c>
      <c r="F47" t="n">
        <v>42030862</v>
      </c>
      <c r="G47" t="n">
        <v>0.8149999999999999</v>
      </c>
      <c r="H47" t="n">
        <v>5.15</v>
      </c>
      <c r="I47" t="n">
        <v>0</v>
      </c>
      <c r="J47" t="n">
        <v>1</v>
      </c>
    </row>
    <row r="48">
      <c r="A48" t="inlineStr">
        <is>
          <t>MN8-008</t>
        </is>
      </c>
      <c r="B48" s="9" t="n">
        <v>46054</v>
      </c>
      <c r="C48" t="n">
        <v>54.3</v>
      </c>
      <c r="D48" t="n">
        <v>52.8</v>
      </c>
      <c r="E48" t="n">
        <v>15140451</v>
      </c>
      <c r="F48" t="n">
        <v>43252350</v>
      </c>
      <c r="G48" t="n">
        <v>0.86</v>
      </c>
      <c r="H48" t="n">
        <v>6.36</v>
      </c>
      <c r="I48" t="n">
        <v>0</v>
      </c>
      <c r="J48" t="n">
        <v>0</v>
      </c>
    </row>
    <row r="49">
      <c r="A49" t="inlineStr">
        <is>
          <t>MN8-008</t>
        </is>
      </c>
      <c r="B49" s="9" t="n">
        <v>46082</v>
      </c>
      <c r="C49" t="n">
        <v>60.7</v>
      </c>
      <c r="D49" t="n">
        <v>61</v>
      </c>
      <c r="E49" t="n">
        <v>29560580</v>
      </c>
      <c r="F49" t="n">
        <v>43443626</v>
      </c>
      <c r="G49" t="n">
        <v>0.833</v>
      </c>
      <c r="H49" t="n">
        <v>7.06</v>
      </c>
      <c r="I49" t="n">
        <v>0</v>
      </c>
      <c r="J49" t="n">
        <v>0</v>
      </c>
    </row>
    <row r="50">
      <c r="A50" t="inlineStr">
        <is>
          <t>MN8-009</t>
        </is>
      </c>
      <c r="B50" s="9" t="n">
        <v>45931</v>
      </c>
      <c r="C50" t="n">
        <v>59.4</v>
      </c>
      <c r="D50" t="n">
        <v>60.7</v>
      </c>
      <c r="E50" t="n">
        <v>10004929</v>
      </c>
      <c r="F50" t="n">
        <v>48169563</v>
      </c>
      <c r="G50" t="n">
        <v>0.886</v>
      </c>
      <c r="H50" t="n">
        <v/>
      </c>
      <c r="I50" t="n">
        <v>0</v>
      </c>
      <c r="J50" t="n">
        <v>0</v>
      </c>
    </row>
    <row r="51">
      <c r="A51" t="inlineStr">
        <is>
          <t>MN8-009</t>
        </is>
      </c>
      <c r="B51" s="9" t="n">
        <v>45962</v>
      </c>
      <c r="C51" t="n">
        <v>68.3</v>
      </c>
      <c r="D51" t="n">
        <v>71.8</v>
      </c>
      <c r="E51" t="n">
        <v>13340264</v>
      </c>
      <c r="F51" t="n">
        <v>59799044</v>
      </c>
      <c r="G51" t="n">
        <v>0.949</v>
      </c>
      <c r="H51" t="n">
        <v/>
      </c>
      <c r="I51" t="n">
        <v>1</v>
      </c>
      <c r="J51" t="n">
        <v>0</v>
      </c>
    </row>
    <row r="52">
      <c r="A52" t="inlineStr">
        <is>
          <t>MN8-009</t>
        </is>
      </c>
      <c r="B52" s="9" t="n">
        <v>45992</v>
      </c>
      <c r="C52" t="n">
        <v>81</v>
      </c>
      <c r="D52" t="n">
        <v>78.8</v>
      </c>
      <c r="E52" t="n">
        <v>15921932</v>
      </c>
      <c r="F52" t="n">
        <v>57191643</v>
      </c>
      <c r="G52" t="n">
        <v>0.9419999999999999</v>
      </c>
      <c r="H52" t="n">
        <v/>
      </c>
      <c r="I52" t="n">
        <v>0</v>
      </c>
      <c r="J52" t="n">
        <v>0</v>
      </c>
    </row>
    <row r="53">
      <c r="A53" t="inlineStr">
        <is>
          <t>MN8-009</t>
        </is>
      </c>
      <c r="B53" s="9" t="n">
        <v>46023</v>
      </c>
      <c r="C53" t="n">
        <v>88.59999999999999</v>
      </c>
      <c r="D53" t="n">
        <v>87</v>
      </c>
      <c r="E53" t="n">
        <v>11030662</v>
      </c>
      <c r="F53" t="n">
        <v>55907848</v>
      </c>
      <c r="G53" t="n">
        <v>0.929</v>
      </c>
      <c r="H53" t="n">
        <v/>
      </c>
      <c r="I53" t="n">
        <v>0</v>
      </c>
      <c r="J53" t="n">
        <v>1</v>
      </c>
    </row>
    <row r="54">
      <c r="A54" t="inlineStr">
        <is>
          <t>MN8-009</t>
        </is>
      </c>
      <c r="B54" s="9" t="n">
        <v>46054</v>
      </c>
      <c r="C54" t="n">
        <v>95.2</v>
      </c>
      <c r="D54" t="n">
        <v>99.5</v>
      </c>
      <c r="E54" t="n">
        <v>12430197</v>
      </c>
      <c r="F54" t="n">
        <v>56060043</v>
      </c>
      <c r="G54" t="n">
        <v>0.885</v>
      </c>
      <c r="H54" t="n">
        <v/>
      </c>
      <c r="I54" t="n">
        <v>2</v>
      </c>
      <c r="J54" t="n">
        <v>0</v>
      </c>
    </row>
    <row r="55">
      <c r="A55" t="inlineStr">
        <is>
          <t>MN8-009</t>
        </is>
      </c>
      <c r="B55" s="9" t="n">
        <v>46082</v>
      </c>
      <c r="C55" t="n">
        <v>98.3</v>
      </c>
      <c r="D55" t="n">
        <v>100</v>
      </c>
      <c r="E55" t="n">
        <v>17554669</v>
      </c>
      <c r="F55" t="n">
        <v>59799044</v>
      </c>
      <c r="G55" t="n">
        <v>0.928</v>
      </c>
      <c r="H55" t="n">
        <v/>
      </c>
      <c r="I55" t="n">
        <v>0</v>
      </c>
      <c r="J55" t="n">
        <v>0</v>
      </c>
    </row>
    <row r="56">
      <c r="A56" t="inlineStr">
        <is>
          <t>MN8-010</t>
        </is>
      </c>
      <c r="B56" s="9" t="n">
        <v>45931</v>
      </c>
      <c r="C56" t="n">
        <v>72.90000000000001</v>
      </c>
      <c r="D56" t="n">
        <v>75.59999999999999</v>
      </c>
      <c r="E56" t="n">
        <v>17394314</v>
      </c>
      <c r="F56" t="n">
        <v>141014179</v>
      </c>
      <c r="G56" t="n">
        <v>0.859</v>
      </c>
      <c r="H56" t="n">
        <v>6.64</v>
      </c>
      <c r="I56" t="n">
        <v>0</v>
      </c>
      <c r="J56" t="n">
        <v>1</v>
      </c>
    </row>
    <row r="57">
      <c r="A57" t="inlineStr">
        <is>
          <t>MN8-010</t>
        </is>
      </c>
      <c r="B57" s="9" t="n">
        <v>45962</v>
      </c>
      <c r="C57" t="n">
        <v>77.8</v>
      </c>
      <c r="D57" t="n">
        <v>80.59999999999999</v>
      </c>
      <c r="E57" t="n">
        <v>20396336</v>
      </c>
      <c r="F57" t="n">
        <v>148513330</v>
      </c>
      <c r="G57" t="n">
        <v>0.87</v>
      </c>
      <c r="H57" t="n">
        <v>5.72</v>
      </c>
      <c r="I57" t="n">
        <v>0</v>
      </c>
      <c r="J57" t="n">
        <v>1</v>
      </c>
    </row>
    <row r="58">
      <c r="A58" t="inlineStr">
        <is>
          <t>MN8-010</t>
        </is>
      </c>
      <c r="B58" s="9" t="n">
        <v>45992</v>
      </c>
      <c r="C58" t="n">
        <v>86.2</v>
      </c>
      <c r="D58" t="n">
        <v>86.3</v>
      </c>
      <c r="E58" t="n">
        <v>29559161</v>
      </c>
      <c r="F58" t="n">
        <v>142450886</v>
      </c>
      <c r="G58" t="n">
        <v>0.88</v>
      </c>
      <c r="H58" t="n">
        <v>5.66</v>
      </c>
      <c r="I58" t="n">
        <v>0</v>
      </c>
      <c r="J58" t="n">
        <v>1</v>
      </c>
    </row>
    <row r="59">
      <c r="A59" t="inlineStr">
        <is>
          <t>MN8-010</t>
        </is>
      </c>
      <c r="B59" s="9" t="n">
        <v>46023</v>
      </c>
      <c r="C59" t="n">
        <v>97.90000000000001</v>
      </c>
      <c r="D59" t="n">
        <v>95.90000000000001</v>
      </c>
      <c r="E59" t="n">
        <v>43185841</v>
      </c>
      <c r="F59" t="n">
        <v>148513330</v>
      </c>
      <c r="G59" t="n">
        <v>0.804</v>
      </c>
      <c r="H59" t="n">
        <v>6.93</v>
      </c>
      <c r="I59" t="n">
        <v>0</v>
      </c>
      <c r="J59" t="n">
        <v>0</v>
      </c>
    </row>
    <row r="60">
      <c r="A60" t="inlineStr">
        <is>
          <t>MN8-010</t>
        </is>
      </c>
      <c r="B60" s="9" t="n">
        <v>46054</v>
      </c>
      <c r="C60" t="n">
        <v>100</v>
      </c>
      <c r="D60" t="n">
        <v>100</v>
      </c>
      <c r="E60" t="n">
        <v>42799586</v>
      </c>
      <c r="F60" t="n">
        <v>148513330</v>
      </c>
      <c r="G60" t="n">
        <v>0.8080000000000001</v>
      </c>
      <c r="H60" t="n">
        <v>5.1</v>
      </c>
      <c r="I60" t="n">
        <v>0</v>
      </c>
      <c r="J60" t="n">
        <v>1</v>
      </c>
    </row>
    <row r="61">
      <c r="A61" t="inlineStr">
        <is>
          <t>MN8-010</t>
        </is>
      </c>
      <c r="B61" s="9" t="n">
        <v>46082</v>
      </c>
      <c r="C61" t="n">
        <v>100</v>
      </c>
      <c r="D61" t="n">
        <v>100</v>
      </c>
      <c r="E61" t="n">
        <v>38763897</v>
      </c>
      <c r="F61" t="n">
        <v>148513330</v>
      </c>
      <c r="G61" t="n">
        <v>0.831</v>
      </c>
      <c r="H61" t="n">
        <v>6.58</v>
      </c>
      <c r="I61" t="n">
        <v>0</v>
      </c>
      <c r="J61" t="n">
        <v>1</v>
      </c>
    </row>
    <row r="62">
      <c r="A62" t="inlineStr">
        <is>
          <t>MN8-011</t>
        </is>
      </c>
      <c r="B62" s="9" t="n">
        <v>45931</v>
      </c>
      <c r="C62" t="n">
        <v>52.1</v>
      </c>
      <c r="D62" t="n">
        <v>47.8</v>
      </c>
      <c r="E62" t="n">
        <v>47772680</v>
      </c>
      <c r="F62" t="n">
        <v>124406406</v>
      </c>
      <c r="G62" t="n">
        <v>0.873</v>
      </c>
      <c r="H62" t="n">
        <v>5.77</v>
      </c>
      <c r="I62" t="n">
        <v>0</v>
      </c>
      <c r="J62" t="n">
        <v>0</v>
      </c>
    </row>
    <row r="63">
      <c r="A63" t="inlineStr">
        <is>
          <t>MN8-011</t>
        </is>
      </c>
      <c r="B63" s="9" t="n">
        <v>45962</v>
      </c>
      <c r="C63" t="n">
        <v>58.9</v>
      </c>
      <c r="D63" t="n">
        <v>52.1</v>
      </c>
      <c r="E63" t="n">
        <v>42422115</v>
      </c>
      <c r="F63" t="n">
        <v>120936796</v>
      </c>
      <c r="G63" t="n">
        <v>0.845</v>
      </c>
      <c r="H63" t="n">
        <v>6.95</v>
      </c>
      <c r="I63" t="n">
        <v>0</v>
      </c>
      <c r="J63" t="n">
        <v>1</v>
      </c>
    </row>
    <row r="64">
      <c r="A64" t="inlineStr">
        <is>
          <t>MN8-011</t>
        </is>
      </c>
      <c r="B64" s="9" t="n">
        <v>45992</v>
      </c>
      <c r="C64" t="n">
        <v>66.3</v>
      </c>
      <c r="D64" t="n">
        <v>60</v>
      </c>
      <c r="E64" t="n">
        <v>56077115</v>
      </c>
      <c r="F64" t="n">
        <v>123593698</v>
      </c>
      <c r="G64" t="n">
        <v>0.874</v>
      </c>
      <c r="H64" t="n">
        <v>6.88</v>
      </c>
      <c r="I64" t="n">
        <v>0</v>
      </c>
      <c r="J64" t="n">
        <v>0</v>
      </c>
    </row>
    <row r="65">
      <c r="A65" t="inlineStr">
        <is>
          <t>MN8-011</t>
        </is>
      </c>
      <c r="B65" s="9" t="n">
        <v>46023</v>
      </c>
      <c r="C65" t="n">
        <v>71.90000000000001</v>
      </c>
      <c r="D65" t="n">
        <v>69</v>
      </c>
      <c r="E65" t="n">
        <v>36185965</v>
      </c>
      <c r="F65" t="n">
        <v>124406406</v>
      </c>
      <c r="G65" t="n">
        <v>0.902</v>
      </c>
      <c r="H65" t="n">
        <v>6.88</v>
      </c>
      <c r="I65" t="n">
        <v>0</v>
      </c>
      <c r="J65" t="n">
        <v>0</v>
      </c>
    </row>
    <row r="66">
      <c r="A66" t="inlineStr">
        <is>
          <t>MN8-011</t>
        </is>
      </c>
      <c r="B66" s="9" t="n">
        <v>46054</v>
      </c>
      <c r="C66" t="n">
        <v>87.7</v>
      </c>
      <c r="D66" t="n">
        <v>87.5</v>
      </c>
      <c r="E66" t="n">
        <v>21722669</v>
      </c>
      <c r="F66" t="n">
        <v>119874982</v>
      </c>
      <c r="G66" t="n">
        <v>0.886</v>
      </c>
      <c r="H66" t="n">
        <v>4.21</v>
      </c>
      <c r="I66" t="n">
        <v>0</v>
      </c>
      <c r="J66" t="n">
        <v>0</v>
      </c>
    </row>
    <row r="67">
      <c r="A67" t="inlineStr">
        <is>
          <t>MN8-011</t>
        </is>
      </c>
      <c r="B67" s="9" t="n">
        <v>46082</v>
      </c>
      <c r="C67" t="n">
        <v>100</v>
      </c>
      <c r="D67" t="n">
        <v>97.40000000000001</v>
      </c>
      <c r="E67" t="n">
        <v>33140169</v>
      </c>
      <c r="F67" t="n">
        <v>120065110</v>
      </c>
      <c r="G67" t="n">
        <v>0.879</v>
      </c>
      <c r="H67" t="n">
        <v>5.51</v>
      </c>
      <c r="I67" t="n">
        <v>0</v>
      </c>
      <c r="J67" t="n">
        <v>0</v>
      </c>
    </row>
    <row r="68">
      <c r="A68" t="inlineStr">
        <is>
          <t>MN8-012</t>
        </is>
      </c>
      <c r="B68" s="9" t="n">
        <v>45931</v>
      </c>
      <c r="C68" t="n">
        <v>41.4</v>
      </c>
      <c r="D68" t="n">
        <v>41.7</v>
      </c>
      <c r="E68" t="n">
        <v>21263950</v>
      </c>
      <c r="F68" t="n">
        <v>54713612</v>
      </c>
      <c r="G68" t="n">
        <v>0.881</v>
      </c>
      <c r="H68" t="n">
        <v/>
      </c>
      <c r="I68" t="n">
        <v>0</v>
      </c>
      <c r="J68" t="n">
        <v>0</v>
      </c>
    </row>
    <row r="69">
      <c r="A69" t="inlineStr">
        <is>
          <t>MN8-012</t>
        </is>
      </c>
      <c r="B69" s="9" t="n">
        <v>45962</v>
      </c>
      <c r="C69" t="n">
        <v>50.2</v>
      </c>
      <c r="D69" t="n">
        <v>53.3</v>
      </c>
      <c r="E69" t="n">
        <v>17998086</v>
      </c>
      <c r="F69" t="n">
        <v>50943596</v>
      </c>
      <c r="G69" t="n">
        <v>0.96</v>
      </c>
      <c r="H69" t="n">
        <v/>
      </c>
      <c r="I69" t="n">
        <v>0</v>
      </c>
      <c r="J69" t="n">
        <v>1</v>
      </c>
    </row>
    <row r="70">
      <c r="A70" t="inlineStr">
        <is>
          <t>MN8-012</t>
        </is>
      </c>
      <c r="B70" s="9" t="n">
        <v>45992</v>
      </c>
      <c r="C70" t="n">
        <v>62.8</v>
      </c>
      <c r="D70" t="n">
        <v>56.2</v>
      </c>
      <c r="E70" t="n">
        <v>13875824</v>
      </c>
      <c r="F70" t="n">
        <v>51692841</v>
      </c>
      <c r="G70" t="n">
        <v>0.883</v>
      </c>
      <c r="H70" t="n">
        <v/>
      </c>
      <c r="I70" t="n">
        <v>0</v>
      </c>
      <c r="J70" t="n">
        <v>1</v>
      </c>
    </row>
    <row r="71">
      <c r="A71" t="inlineStr">
        <is>
          <t>MN8-012</t>
        </is>
      </c>
      <c r="B71" s="9" t="n">
        <v>46023</v>
      </c>
      <c r="C71" t="n">
        <v>67.7</v>
      </c>
      <c r="D71" t="n">
        <v>62.7</v>
      </c>
      <c r="E71" t="n">
        <v>18758934</v>
      </c>
      <c r="F71" t="n">
        <v>54066390</v>
      </c>
      <c r="G71" t="n">
        <v>0.915</v>
      </c>
      <c r="H71" t="n">
        <v/>
      </c>
      <c r="I71" t="n">
        <v>0</v>
      </c>
      <c r="J71" t="n">
        <v>1</v>
      </c>
    </row>
    <row r="72">
      <c r="A72" t="inlineStr">
        <is>
          <t>MN8-012</t>
        </is>
      </c>
      <c r="B72" s="9" t="n">
        <v>46054</v>
      </c>
      <c r="C72" t="n">
        <v>76.2</v>
      </c>
      <c r="D72" t="n">
        <v>68.90000000000001</v>
      </c>
      <c r="E72" t="n">
        <v>17185088</v>
      </c>
      <c r="F72" t="n">
        <v>52262268</v>
      </c>
      <c r="G72" t="n">
        <v>0.9320000000000001</v>
      </c>
      <c r="H72" t="n">
        <v/>
      </c>
      <c r="I72" t="n">
        <v>0</v>
      </c>
      <c r="J72" t="n">
        <v>0</v>
      </c>
    </row>
    <row r="73">
      <c r="A73" t="inlineStr">
        <is>
          <t>MN8-012</t>
        </is>
      </c>
      <c r="B73" s="9" t="n">
        <v>46082</v>
      </c>
      <c r="C73" t="n">
        <v>78.2</v>
      </c>
      <c r="D73" t="n">
        <v>73.8</v>
      </c>
      <c r="E73" t="n">
        <v>22805447</v>
      </c>
      <c r="F73" t="n">
        <v>50529251</v>
      </c>
      <c r="G73" t="n">
        <v>0.898</v>
      </c>
      <c r="H73" t="n">
        <v/>
      </c>
      <c r="I73" t="n">
        <v>0</v>
      </c>
      <c r="J73" t="n">
        <v>1</v>
      </c>
    </row>
    <row r="74">
      <c r="A74" t="inlineStr">
        <is>
          <t>MN8-013</t>
        </is>
      </c>
      <c r="B74" s="9" t="n">
        <v>45931</v>
      </c>
      <c r="C74" t="n">
        <v>78.59999999999999</v>
      </c>
      <c r="D74" t="n">
        <v>80.5</v>
      </c>
      <c r="E74" t="n">
        <v>6129689</v>
      </c>
      <c r="F74" t="n">
        <v>40921503</v>
      </c>
      <c r="G74" t="n">
        <v>0.9379999999999999</v>
      </c>
      <c r="H74" t="n">
        <v/>
      </c>
      <c r="I74" t="n">
        <v>1</v>
      </c>
      <c r="J74" t="n">
        <v>1</v>
      </c>
    </row>
    <row r="75">
      <c r="A75" t="inlineStr">
        <is>
          <t>MN8-013</t>
        </is>
      </c>
      <c r="B75" s="9" t="n">
        <v>45962</v>
      </c>
      <c r="C75" t="n">
        <v>89</v>
      </c>
      <c r="D75" t="n">
        <v>85.3</v>
      </c>
      <c r="E75" t="n">
        <v>7208935</v>
      </c>
      <c r="F75" t="n">
        <v>48130439</v>
      </c>
      <c r="G75" t="n">
        <v>0.952</v>
      </c>
      <c r="H75" t="n">
        <v/>
      </c>
      <c r="I75" t="n">
        <v>0</v>
      </c>
      <c r="J75" t="n">
        <v>0</v>
      </c>
    </row>
    <row r="76">
      <c r="A76" t="inlineStr">
        <is>
          <t>MN8-013</t>
        </is>
      </c>
      <c r="B76" s="9" t="n">
        <v>45992</v>
      </c>
      <c r="C76" t="n">
        <v>93.7</v>
      </c>
      <c r="D76" t="n">
        <v>87.09999999999999</v>
      </c>
      <c r="E76" t="n">
        <v>13471740</v>
      </c>
      <c r="F76" t="n">
        <v>53599094</v>
      </c>
      <c r="G76" t="n">
        <v>0.901</v>
      </c>
      <c r="H76" t="n">
        <v/>
      </c>
      <c r="I76" t="n">
        <v>0</v>
      </c>
      <c r="J76" t="n">
        <v>1</v>
      </c>
    </row>
    <row r="77">
      <c r="A77" t="inlineStr">
        <is>
          <t>MN8-013</t>
        </is>
      </c>
      <c r="B77" s="9" t="n">
        <v>46023</v>
      </c>
      <c r="C77" t="n">
        <v>100</v>
      </c>
      <c r="D77" t="n">
        <v>97.90000000000001</v>
      </c>
      <c r="E77" t="n">
        <v>9299342</v>
      </c>
      <c r="F77" t="n">
        <v>55117967</v>
      </c>
      <c r="G77" t="n">
        <v>0.915</v>
      </c>
      <c r="H77" t="n">
        <v/>
      </c>
      <c r="I77" t="n">
        <v>0</v>
      </c>
      <c r="J77" t="n">
        <v>2</v>
      </c>
    </row>
    <row r="78">
      <c r="A78" t="inlineStr">
        <is>
          <t>MN8-013</t>
        </is>
      </c>
      <c r="B78" s="9" t="n">
        <v>46054</v>
      </c>
      <c r="C78" t="n">
        <v>100</v>
      </c>
      <c r="D78" t="n">
        <v>100</v>
      </c>
      <c r="E78" t="n">
        <v>9460926</v>
      </c>
      <c r="F78" t="n">
        <v>51291860</v>
      </c>
      <c r="G78" t="n">
        <v>0.901</v>
      </c>
      <c r="H78" t="n">
        <v/>
      </c>
      <c r="I78" t="n">
        <v>0</v>
      </c>
      <c r="J78" t="n">
        <v>1</v>
      </c>
    </row>
    <row r="79">
      <c r="A79" t="inlineStr">
        <is>
          <t>MN8-013</t>
        </is>
      </c>
      <c r="B79" s="9" t="n">
        <v>46082</v>
      </c>
      <c r="C79" t="n">
        <v>96.8</v>
      </c>
      <c r="D79" t="n">
        <v>100</v>
      </c>
      <c r="E79" t="n">
        <v>13650553</v>
      </c>
      <c r="F79" t="n">
        <v>55575569</v>
      </c>
      <c r="G79" t="n">
        <v>0.922</v>
      </c>
      <c r="H79" t="n">
        <v/>
      </c>
      <c r="I79" t="n">
        <v>0</v>
      </c>
      <c r="J79" t="n">
        <v>0</v>
      </c>
    </row>
    <row r="80">
      <c r="A80" t="inlineStr">
        <is>
          <t>MN8-014</t>
        </is>
      </c>
      <c r="B80" s="9" t="n">
        <v>45931</v>
      </c>
      <c r="C80" t="n">
        <v>73.5</v>
      </c>
      <c r="D80" t="n">
        <v>71.3</v>
      </c>
      <c r="E80" t="n">
        <v>24494276</v>
      </c>
      <c r="F80" t="n">
        <v>115157270</v>
      </c>
      <c r="G80" t="n">
        <v>0.897</v>
      </c>
      <c r="H80" t="n">
        <v/>
      </c>
      <c r="I80" t="n">
        <v>0</v>
      </c>
      <c r="J80" t="n">
        <v>0</v>
      </c>
    </row>
    <row r="81">
      <c r="A81" t="inlineStr">
        <is>
          <t>MN8-014</t>
        </is>
      </c>
      <c r="B81" s="9" t="n">
        <v>45962</v>
      </c>
      <c r="C81" t="n">
        <v>90.5</v>
      </c>
      <c r="D81" t="n">
        <v>84.2</v>
      </c>
      <c r="E81" t="n">
        <v>23345374</v>
      </c>
      <c r="F81" t="n">
        <v>114934693</v>
      </c>
      <c r="G81" t="n">
        <v>0.9330000000000001</v>
      </c>
      <c r="H81" t="n">
        <v/>
      </c>
      <c r="I81" t="n">
        <v>0</v>
      </c>
      <c r="J81" t="n">
        <v>2</v>
      </c>
    </row>
    <row r="82">
      <c r="A82" t="inlineStr">
        <is>
          <t>MN8-014</t>
        </is>
      </c>
      <c r="B82" s="9" t="n">
        <v>45992</v>
      </c>
      <c r="C82" t="n">
        <v>88.40000000000001</v>
      </c>
      <c r="D82" t="n">
        <v>92.8</v>
      </c>
      <c r="E82" t="n">
        <v>14173910</v>
      </c>
      <c r="F82" t="n">
        <v>115157270</v>
      </c>
      <c r="G82" t="n">
        <v>0.887</v>
      </c>
      <c r="H82" t="n">
        <v/>
      </c>
      <c r="I82" t="n">
        <v>0</v>
      </c>
      <c r="J82" t="n">
        <v>0</v>
      </c>
    </row>
    <row r="83">
      <c r="A83" t="inlineStr">
        <is>
          <t>MN8-014</t>
        </is>
      </c>
      <c r="B83" s="9" t="n">
        <v>46023</v>
      </c>
      <c r="C83" t="n">
        <v>93</v>
      </c>
      <c r="D83" t="n">
        <v>94.3</v>
      </c>
      <c r="E83" t="n">
        <v>18202808</v>
      </c>
      <c r="F83" t="n">
        <v>115157270</v>
      </c>
      <c r="G83" t="n">
        <v>0.904</v>
      </c>
      <c r="H83" t="n">
        <v/>
      </c>
      <c r="I83" t="n">
        <v>0</v>
      </c>
      <c r="J83" t="n">
        <v>0</v>
      </c>
    </row>
    <row r="84">
      <c r="A84" t="inlineStr">
        <is>
          <t>MN8-014</t>
        </is>
      </c>
      <c r="B84" s="9" t="n">
        <v>46054</v>
      </c>
      <c r="C84" t="n">
        <v>97.8</v>
      </c>
      <c r="D84" t="n">
        <v>100</v>
      </c>
      <c r="E84" t="n">
        <v>11299910</v>
      </c>
      <c r="F84" t="n">
        <v>109870898</v>
      </c>
      <c r="G84" t="n">
        <v>0.928</v>
      </c>
      <c r="H84" t="n">
        <v/>
      </c>
      <c r="I84" t="n">
        <v>0</v>
      </c>
      <c r="J84" t="n">
        <v>0</v>
      </c>
    </row>
    <row r="85">
      <c r="A85" t="inlineStr">
        <is>
          <t>MN8-014</t>
        </is>
      </c>
      <c r="B85" s="9" t="n">
        <v>46082</v>
      </c>
      <c r="C85" t="n">
        <v>99.3</v>
      </c>
      <c r="D85" t="n">
        <v>100</v>
      </c>
      <c r="E85" t="n">
        <v>27036237</v>
      </c>
      <c r="F85" t="n">
        <v>107540512</v>
      </c>
      <c r="G85" t="n">
        <v>0.886</v>
      </c>
      <c r="H85" t="n">
        <v/>
      </c>
      <c r="I85" t="n">
        <v>0</v>
      </c>
      <c r="J85" t="n">
        <v>0</v>
      </c>
    </row>
    <row r="86">
      <c r="A86" t="inlineStr">
        <is>
          <t>MN8-015</t>
        </is>
      </c>
      <c r="B86" s="9" t="n">
        <v>45931</v>
      </c>
      <c r="C86" t="n">
        <v>67.59999999999999</v>
      </c>
      <c r="D86" t="n">
        <v>63.6</v>
      </c>
      <c r="E86" t="n">
        <v>15177058</v>
      </c>
      <c r="F86" t="n">
        <v>88507310</v>
      </c>
      <c r="G86" t="n">
        <v>0.909</v>
      </c>
      <c r="H86" t="n">
        <v/>
      </c>
      <c r="I86" t="n">
        <v>0</v>
      </c>
      <c r="J86" t="n">
        <v>2</v>
      </c>
    </row>
    <row r="87">
      <c r="A87" t="inlineStr">
        <is>
          <t>MN8-015</t>
        </is>
      </c>
      <c r="B87" s="9" t="n">
        <v>45962</v>
      </c>
      <c r="C87" t="n">
        <v>77.59999999999999</v>
      </c>
      <c r="D87" t="n">
        <v>70.3</v>
      </c>
      <c r="E87" t="n">
        <v>18594412</v>
      </c>
      <c r="F87" t="n">
        <v>97683115</v>
      </c>
      <c r="G87" t="n">
        <v>0.923</v>
      </c>
      <c r="H87" t="n">
        <v/>
      </c>
      <c r="I87" t="n">
        <v>1</v>
      </c>
      <c r="J87" t="n">
        <v>1</v>
      </c>
    </row>
    <row r="88">
      <c r="A88" t="inlineStr">
        <is>
          <t>MN8-015</t>
        </is>
      </c>
      <c r="B88" s="9" t="n">
        <v>45992</v>
      </c>
      <c r="C88" t="n">
        <v>90.3</v>
      </c>
      <c r="D88" t="n">
        <v>84.2</v>
      </c>
      <c r="E88" t="n">
        <v>14735254</v>
      </c>
      <c r="F88" t="n">
        <v>101776198</v>
      </c>
      <c r="G88" t="n">
        <v>0.898</v>
      </c>
      <c r="H88" t="n">
        <v/>
      </c>
      <c r="I88" t="n">
        <v>2</v>
      </c>
      <c r="J88" t="n">
        <v>2</v>
      </c>
    </row>
    <row r="89">
      <c r="A89" t="inlineStr">
        <is>
          <t>MN8-015</t>
        </is>
      </c>
      <c r="B89" s="9" t="n">
        <v>46023</v>
      </c>
      <c r="C89" t="n">
        <v>95.7</v>
      </c>
      <c r="D89" t="n">
        <v>91.5</v>
      </c>
      <c r="E89" t="n">
        <v>28014262</v>
      </c>
      <c r="F89" t="n">
        <v>97621811</v>
      </c>
      <c r="G89" t="n">
        <v>0.925</v>
      </c>
      <c r="H89" t="n">
        <v/>
      </c>
      <c r="I89" t="n">
        <v>1</v>
      </c>
      <c r="J89" t="n">
        <v>0</v>
      </c>
    </row>
    <row r="90">
      <c r="A90" t="inlineStr">
        <is>
          <t>MN8-015</t>
        </is>
      </c>
      <c r="B90" s="9" t="n">
        <v>46054</v>
      </c>
      <c r="C90" t="n">
        <v>100</v>
      </c>
      <c r="D90" t="n">
        <v>100</v>
      </c>
      <c r="E90" t="n">
        <v>28388078</v>
      </c>
      <c r="F90" t="n">
        <v>101571596</v>
      </c>
      <c r="G90" t="n">
        <v>0.949</v>
      </c>
      <c r="H90" t="n">
        <v/>
      </c>
      <c r="I90" t="n">
        <v>1</v>
      </c>
      <c r="J90" t="n">
        <v>0</v>
      </c>
    </row>
    <row r="91">
      <c r="A91" t="inlineStr">
        <is>
          <t>MN8-015</t>
        </is>
      </c>
      <c r="B91" s="9" t="n">
        <v>46082</v>
      </c>
      <c r="C91" t="n">
        <v>95.5</v>
      </c>
      <c r="D91" t="n">
        <v>100</v>
      </c>
      <c r="E91" t="n">
        <v>21547959</v>
      </c>
      <c r="F91" t="n">
        <v>98286749</v>
      </c>
      <c r="G91" t="n">
        <v>0.89</v>
      </c>
      <c r="H91" t="n">
        <v/>
      </c>
      <c r="I91" t="n">
        <v>0</v>
      </c>
      <c r="J91" t="n">
        <v>1</v>
      </c>
    </row>
    <row r="92">
      <c r="A92" t="inlineStr">
        <is>
          <t>MN8-016</t>
        </is>
      </c>
      <c r="B92" s="9" t="n">
        <v>45931</v>
      </c>
      <c r="C92" t="n">
        <v>89.3</v>
      </c>
      <c r="D92" t="n">
        <v>84.09999999999999</v>
      </c>
      <c r="E92" t="n">
        <v>16302203</v>
      </c>
      <c r="F92" t="n">
        <v>105239857</v>
      </c>
      <c r="G92" t="n">
        <v>0.896</v>
      </c>
      <c r="H92" t="n">
        <v>5.99</v>
      </c>
      <c r="I92" t="n">
        <v>0</v>
      </c>
      <c r="J92" t="n">
        <v>0</v>
      </c>
    </row>
    <row r="93">
      <c r="A93" t="inlineStr">
        <is>
          <t>MN8-016</t>
        </is>
      </c>
      <c r="B93" s="9" t="n">
        <v>45962</v>
      </c>
      <c r="C93" t="n">
        <v>85.8</v>
      </c>
      <c r="D93" t="n">
        <v>90.5</v>
      </c>
      <c r="E93" t="n">
        <v>27371722</v>
      </c>
      <c r="F93" t="n">
        <v>112569243</v>
      </c>
      <c r="G93" t="n">
        <v>0.903</v>
      </c>
      <c r="H93" t="n">
        <v>6.52</v>
      </c>
      <c r="I93" t="n">
        <v>2</v>
      </c>
      <c r="J93" t="n">
        <v>0</v>
      </c>
    </row>
    <row r="94">
      <c r="A94" t="inlineStr">
        <is>
          <t>MN8-016</t>
        </is>
      </c>
      <c r="B94" s="9" t="n">
        <v>45992</v>
      </c>
      <c r="C94" t="n">
        <v>100</v>
      </c>
      <c r="D94" t="n">
        <v>99.7</v>
      </c>
      <c r="E94" t="n">
        <v>27351322</v>
      </c>
      <c r="F94" t="n">
        <v>113848694</v>
      </c>
      <c r="G94" t="n">
        <v>0.882</v>
      </c>
      <c r="H94" t="n">
        <v>5.41</v>
      </c>
      <c r="I94" t="n">
        <v>0</v>
      </c>
      <c r="J94" t="n">
        <v>1</v>
      </c>
    </row>
    <row r="95">
      <c r="A95" t="inlineStr">
        <is>
          <t>MN8-016</t>
        </is>
      </c>
      <c r="B95" s="9" t="n">
        <v>46023</v>
      </c>
      <c r="C95" t="n">
        <v>96.09999999999999</v>
      </c>
      <c r="D95" t="n">
        <v>99.7</v>
      </c>
      <c r="E95" t="n">
        <v>17016405</v>
      </c>
      <c r="F95" t="n">
        <v>108992030</v>
      </c>
      <c r="G95" t="n">
        <v>0.826</v>
      </c>
      <c r="H95" t="n">
        <v>4.88</v>
      </c>
      <c r="I95" t="n">
        <v>0</v>
      </c>
      <c r="J95" t="n">
        <v>0</v>
      </c>
    </row>
    <row r="96">
      <c r="A96" t="inlineStr">
        <is>
          <t>MN8-016</t>
        </is>
      </c>
      <c r="B96" s="9" t="n">
        <v>46054</v>
      </c>
      <c r="C96" t="n">
        <v>100</v>
      </c>
      <c r="D96" t="n">
        <v>100</v>
      </c>
      <c r="E96" t="n">
        <v>14301173</v>
      </c>
      <c r="F96" t="n">
        <v>113848694</v>
      </c>
      <c r="G96" t="n">
        <v>0.884</v>
      </c>
      <c r="H96" t="n">
        <v>4.46</v>
      </c>
      <c r="I96" t="n">
        <v>0</v>
      </c>
      <c r="J96" t="n">
        <v>1</v>
      </c>
    </row>
    <row r="97">
      <c r="A97" t="inlineStr">
        <is>
          <t>MN8-016</t>
        </is>
      </c>
      <c r="B97" s="9" t="n">
        <v>46082</v>
      </c>
      <c r="C97" t="n">
        <v>100</v>
      </c>
      <c r="D97" t="n">
        <v>100</v>
      </c>
      <c r="E97" t="n">
        <v>22169164</v>
      </c>
      <c r="F97" t="n">
        <v>107212956</v>
      </c>
      <c r="G97" t="n">
        <v>0.909</v>
      </c>
      <c r="H97" t="n">
        <v>4.87</v>
      </c>
      <c r="I97" t="n">
        <v>1</v>
      </c>
      <c r="J97" t="n">
        <v>1</v>
      </c>
    </row>
    <row r="98">
      <c r="A98" t="inlineStr">
        <is>
          <t>MN8-017</t>
        </is>
      </c>
      <c r="B98" s="9" t="n">
        <v>45931</v>
      </c>
      <c r="C98" t="n">
        <v>46.2</v>
      </c>
      <c r="D98" t="n">
        <v>48.8</v>
      </c>
      <c r="E98" t="n">
        <v>13912766</v>
      </c>
      <c r="F98" t="n">
        <v>41826431</v>
      </c>
      <c r="G98" t="n">
        <v>0.885</v>
      </c>
      <c r="H98" t="n">
        <v/>
      </c>
      <c r="I98" t="n">
        <v>1</v>
      </c>
      <c r="J98" t="n">
        <v>1</v>
      </c>
    </row>
    <row r="99">
      <c r="A99" t="inlineStr">
        <is>
          <t>MN8-017</t>
        </is>
      </c>
      <c r="B99" s="9" t="n">
        <v>45962</v>
      </c>
      <c r="C99" t="n">
        <v>65.90000000000001</v>
      </c>
      <c r="D99" t="n">
        <v>57.9</v>
      </c>
      <c r="E99" t="n">
        <v>7327181</v>
      </c>
      <c r="F99" t="n">
        <v>42086144</v>
      </c>
      <c r="G99" t="n">
        <v>0.9409999999999999</v>
      </c>
      <c r="H99" t="n">
        <v/>
      </c>
      <c r="I99" t="n">
        <v>0</v>
      </c>
      <c r="J99" t="n">
        <v>0</v>
      </c>
    </row>
    <row r="100">
      <c r="A100" t="inlineStr">
        <is>
          <t>MN8-017</t>
        </is>
      </c>
      <c r="B100" s="9" t="n">
        <v>45992</v>
      </c>
      <c r="C100" t="n">
        <v>67.90000000000001</v>
      </c>
      <c r="D100" t="n">
        <v>65.90000000000001</v>
      </c>
      <c r="E100" t="n">
        <v>11883403</v>
      </c>
      <c r="F100" t="n">
        <v>43121487</v>
      </c>
      <c r="G100" t="n">
        <v>0.887</v>
      </c>
      <c r="H100" t="n">
        <v/>
      </c>
      <c r="I100" t="n">
        <v>1</v>
      </c>
      <c r="J100" t="n">
        <v>0</v>
      </c>
    </row>
    <row r="101">
      <c r="A101" t="inlineStr">
        <is>
          <t>MN8-017</t>
        </is>
      </c>
      <c r="B101" s="9" t="n">
        <v>46023</v>
      </c>
      <c r="C101" t="n">
        <v>74.90000000000001</v>
      </c>
      <c r="D101" t="n">
        <v>68.40000000000001</v>
      </c>
      <c r="E101" t="n">
        <v>15827121</v>
      </c>
      <c r="F101" t="n">
        <v>43320275</v>
      </c>
      <c r="G101" t="n">
        <v>0.945</v>
      </c>
      <c r="H101" t="n">
        <v/>
      </c>
      <c r="I101" t="n">
        <v>0</v>
      </c>
      <c r="J101" t="n">
        <v>1</v>
      </c>
    </row>
    <row r="102">
      <c r="A102" t="inlineStr">
        <is>
          <t>MN8-017</t>
        </is>
      </c>
      <c r="B102" s="9" t="n">
        <v>46054</v>
      </c>
      <c r="C102" t="n">
        <v>66.3</v>
      </c>
      <c r="D102" t="n">
        <v>67.90000000000001</v>
      </c>
      <c r="E102" t="n">
        <v>13302098</v>
      </c>
      <c r="F102" t="n">
        <v>42647245</v>
      </c>
      <c r="G102" t="n">
        <v>0.886</v>
      </c>
      <c r="H102" t="n">
        <v/>
      </c>
      <c r="I102" t="n">
        <v>0</v>
      </c>
      <c r="J102" t="n">
        <v>1</v>
      </c>
    </row>
    <row r="103">
      <c r="A103" t="inlineStr">
        <is>
          <t>MN8-017</t>
        </is>
      </c>
      <c r="B103" s="9" t="n">
        <v>46082</v>
      </c>
      <c r="C103" t="n">
        <v>74.59999999999999</v>
      </c>
      <c r="D103" t="n">
        <v>68.59999999999999</v>
      </c>
      <c r="E103" t="n">
        <v>10820107</v>
      </c>
      <c r="F103" t="n">
        <v>42561142</v>
      </c>
      <c r="G103" t="n">
        <v>0.927</v>
      </c>
      <c r="H103" t="n">
        <v/>
      </c>
      <c r="I103" t="n">
        <v>1</v>
      </c>
      <c r="J103" t="n">
        <v>0</v>
      </c>
    </row>
    <row r="104">
      <c r="A104" t="inlineStr">
        <is>
          <t>MN8-018</t>
        </is>
      </c>
      <c r="B104" s="9" t="n">
        <v>45931</v>
      </c>
      <c r="C104" t="n">
        <v>10.6</v>
      </c>
      <c r="D104" t="n">
        <v>7</v>
      </c>
      <c r="E104" t="n">
        <v>36289284</v>
      </c>
      <c r="F104" t="n">
        <v>9217346</v>
      </c>
      <c r="G104" t="n">
        <v>0.875</v>
      </c>
      <c r="H104" t="n">
        <v>6.63</v>
      </c>
      <c r="I104" t="n">
        <v>0</v>
      </c>
      <c r="J104" t="n">
        <v>1</v>
      </c>
    </row>
    <row r="105">
      <c r="A105" t="inlineStr">
        <is>
          <t>MN8-018</t>
        </is>
      </c>
      <c r="B105" s="9" t="n">
        <v>45962</v>
      </c>
      <c r="C105" t="n">
        <v>21.8</v>
      </c>
      <c r="D105" t="n">
        <v>17</v>
      </c>
      <c r="E105" t="n">
        <v>17696306</v>
      </c>
      <c r="F105" t="n">
        <v>9217346</v>
      </c>
      <c r="G105" t="n">
        <v>0.895</v>
      </c>
      <c r="H105" t="n">
        <v>4.28</v>
      </c>
      <c r="I105" t="n">
        <v>1</v>
      </c>
      <c r="J105" t="n">
        <v>0</v>
      </c>
    </row>
    <row r="106">
      <c r="A106" t="inlineStr">
        <is>
          <t>MN8-018</t>
        </is>
      </c>
      <c r="B106" s="9" t="n">
        <v>45992</v>
      </c>
      <c r="C106" t="n">
        <v>27.9</v>
      </c>
      <c r="D106" t="n">
        <v>22.3</v>
      </c>
      <c r="E106" t="n">
        <v>35793610</v>
      </c>
      <c r="F106" t="n">
        <v>9088034</v>
      </c>
      <c r="G106" t="n">
        <v>0.791</v>
      </c>
      <c r="H106" t="n">
        <v>5.03</v>
      </c>
      <c r="I106" t="n">
        <v>0</v>
      </c>
      <c r="J106" t="n">
        <v>3</v>
      </c>
    </row>
    <row r="107">
      <c r="A107" t="inlineStr">
        <is>
          <t>MN8-018</t>
        </is>
      </c>
      <c r="B107" s="9" t="n">
        <v>46023</v>
      </c>
      <c r="C107" t="n">
        <v>31.3</v>
      </c>
      <c r="D107" t="n">
        <v>32.9</v>
      </c>
      <c r="E107" t="n">
        <v>30470022</v>
      </c>
      <c r="F107" t="n">
        <v>9126998</v>
      </c>
      <c r="G107" t="n">
        <v>0.884</v>
      </c>
      <c r="H107" t="n">
        <v>4.51</v>
      </c>
      <c r="I107" t="n">
        <v>0</v>
      </c>
      <c r="J107" t="n">
        <v>0</v>
      </c>
    </row>
    <row r="108">
      <c r="A108" t="inlineStr">
        <is>
          <t>MN8-018</t>
        </is>
      </c>
      <c r="B108" s="9" t="n">
        <v>46054</v>
      </c>
      <c r="C108" t="n">
        <v>55</v>
      </c>
      <c r="D108" t="n">
        <v>47.9</v>
      </c>
      <c r="E108" t="n">
        <v>16189059</v>
      </c>
      <c r="F108" t="n">
        <v>9217346</v>
      </c>
      <c r="G108" t="n">
        <v>0.873</v>
      </c>
      <c r="H108" t="n">
        <v>4.4</v>
      </c>
      <c r="I108" t="n">
        <v>0</v>
      </c>
      <c r="J108" t="n">
        <v>1</v>
      </c>
    </row>
    <row r="109">
      <c r="A109" t="inlineStr">
        <is>
          <t>MN8-018</t>
        </is>
      </c>
      <c r="B109" s="9" t="n">
        <v>46082</v>
      </c>
      <c r="C109" t="n">
        <v>51.7</v>
      </c>
      <c r="D109" t="n">
        <v>49.2</v>
      </c>
      <c r="E109" t="n">
        <v>22728347</v>
      </c>
      <c r="F109" t="n">
        <v>9217346</v>
      </c>
      <c r="G109" t="n">
        <v>0.795</v>
      </c>
      <c r="H109" t="n">
        <v>6.73</v>
      </c>
      <c r="I109" t="n">
        <v>2</v>
      </c>
      <c r="J109" t="n">
        <v>2</v>
      </c>
    </row>
    <row r="110">
      <c r="A110" t="inlineStr">
        <is>
          <t>MN8-019</t>
        </is>
      </c>
      <c r="B110" s="9" t="n">
        <v>45931</v>
      </c>
      <c r="C110" t="n">
        <v>70.90000000000001</v>
      </c>
      <c r="D110" t="n">
        <v>65.8</v>
      </c>
      <c r="E110" t="n">
        <v>35062939</v>
      </c>
      <c r="F110" t="n">
        <v>141527569</v>
      </c>
      <c r="G110" t="n">
        <v>0.843</v>
      </c>
      <c r="H110" t="n">
        <v>6.79</v>
      </c>
      <c r="I110" t="n">
        <v>0</v>
      </c>
      <c r="J110" t="n">
        <v>0</v>
      </c>
    </row>
    <row r="111">
      <c r="A111" t="inlineStr">
        <is>
          <t>MN8-019</t>
        </is>
      </c>
      <c r="B111" s="9" t="n">
        <v>45962</v>
      </c>
      <c r="C111" t="n">
        <v>71.7</v>
      </c>
      <c r="D111" t="n">
        <v>66.40000000000001</v>
      </c>
      <c r="E111" t="n">
        <v>35370718</v>
      </c>
      <c r="F111" t="n">
        <v>159683095</v>
      </c>
      <c r="G111" t="n">
        <v>0.82</v>
      </c>
      <c r="H111" t="n">
        <v>5.91</v>
      </c>
      <c r="I111" t="n">
        <v>0</v>
      </c>
      <c r="J111" t="n">
        <v>0</v>
      </c>
    </row>
    <row r="112">
      <c r="A112" t="inlineStr">
        <is>
          <t>MN8-019</t>
        </is>
      </c>
      <c r="B112" s="9" t="n">
        <v>45992</v>
      </c>
      <c r="C112" t="n">
        <v>85</v>
      </c>
      <c r="D112" t="n">
        <v>77.7</v>
      </c>
      <c r="E112" t="n">
        <v>27252995</v>
      </c>
      <c r="F112" t="n">
        <v>168317789</v>
      </c>
      <c r="G112" t="n">
        <v>0.858</v>
      </c>
      <c r="H112" t="n">
        <v>4.77</v>
      </c>
      <c r="I112" t="n">
        <v>2</v>
      </c>
      <c r="J112" t="n">
        <v>0</v>
      </c>
    </row>
    <row r="113">
      <c r="A113" t="inlineStr">
        <is>
          <t>MN8-019</t>
        </is>
      </c>
      <c r="B113" s="9" t="n">
        <v>46023</v>
      </c>
      <c r="C113" t="n">
        <v>84.3</v>
      </c>
      <c r="D113" t="n">
        <v>86.3</v>
      </c>
      <c r="E113" t="n">
        <v>21130435</v>
      </c>
      <c r="F113" t="n">
        <v>155533620</v>
      </c>
      <c r="G113" t="n">
        <v>0.888</v>
      </c>
      <c r="H113" t="n">
        <v>5.03</v>
      </c>
      <c r="I113" t="n">
        <v>1</v>
      </c>
      <c r="J113" t="n">
        <v>0</v>
      </c>
    </row>
    <row r="114">
      <c r="A114" t="inlineStr">
        <is>
          <t>MN8-019</t>
        </is>
      </c>
      <c r="B114" s="9" t="n">
        <v>46054</v>
      </c>
      <c r="C114" t="n">
        <v>100</v>
      </c>
      <c r="D114" t="n">
        <v>99</v>
      </c>
      <c r="E114" t="n">
        <v>37659452</v>
      </c>
      <c r="F114" t="n">
        <v>168317789</v>
      </c>
      <c r="G114" t="n">
        <v>0.901</v>
      </c>
      <c r="H114" t="n">
        <v>5.75</v>
      </c>
      <c r="I114" t="n">
        <v>0</v>
      </c>
      <c r="J114" t="n">
        <v>0</v>
      </c>
    </row>
    <row r="115">
      <c r="A115" t="inlineStr">
        <is>
          <t>MN8-019</t>
        </is>
      </c>
      <c r="B115" s="9" t="n">
        <v>46082</v>
      </c>
      <c r="C115" t="n">
        <v>100</v>
      </c>
      <c r="D115" t="n">
        <v>100</v>
      </c>
      <c r="E115" t="n">
        <v>38418478</v>
      </c>
      <c r="F115" t="n">
        <v>165388707</v>
      </c>
      <c r="G115" t="n">
        <v>0.824</v>
      </c>
      <c r="H115" t="n">
        <v>4.35</v>
      </c>
      <c r="I115" t="n">
        <v>0</v>
      </c>
      <c r="J115" t="n">
        <v>0</v>
      </c>
    </row>
    <row r="116">
      <c r="A116" t="inlineStr">
        <is>
          <t>MN8-020</t>
        </is>
      </c>
      <c r="B116" s="9" t="n">
        <v>45931</v>
      </c>
      <c r="C116" t="n">
        <v>28.9</v>
      </c>
      <c r="D116" t="n">
        <v>23.5</v>
      </c>
      <c r="E116" t="n">
        <v>47912503</v>
      </c>
      <c r="F116" t="n">
        <v>158789140</v>
      </c>
      <c r="G116" t="n">
        <v>0.8110000000000001</v>
      </c>
      <c r="H116" t="n">
        <v>4.2</v>
      </c>
      <c r="I116" t="n">
        <v>0</v>
      </c>
      <c r="J116" t="n">
        <v>0</v>
      </c>
    </row>
    <row r="117">
      <c r="A117" t="inlineStr">
        <is>
          <t>MN8-020</t>
        </is>
      </c>
      <c r="B117" s="9" t="n">
        <v>45962</v>
      </c>
      <c r="C117" t="n">
        <v>32.8</v>
      </c>
      <c r="D117" t="n">
        <v>34</v>
      </c>
      <c r="E117" t="n">
        <v>70653086</v>
      </c>
      <c r="F117" t="n">
        <v>162165653</v>
      </c>
      <c r="G117" t="n">
        <v>0.904</v>
      </c>
      <c r="H117" t="n">
        <v>4.11</v>
      </c>
      <c r="I117" t="n">
        <v>0</v>
      </c>
      <c r="J117" t="n">
        <v>0</v>
      </c>
    </row>
    <row r="118">
      <c r="A118" t="inlineStr">
        <is>
          <t>MN8-020</t>
        </is>
      </c>
      <c r="B118" s="9" t="n">
        <v>45992</v>
      </c>
      <c r="C118" t="n">
        <v>50.4</v>
      </c>
      <c r="D118" t="n">
        <v>46.3</v>
      </c>
      <c r="E118" t="n">
        <v>62651535</v>
      </c>
      <c r="F118" t="n">
        <v>149398385</v>
      </c>
      <c r="G118" t="n">
        <v>0.849</v>
      </c>
      <c r="H118" t="n">
        <v>5.45</v>
      </c>
      <c r="I118" t="n">
        <v>0</v>
      </c>
      <c r="J118" t="n">
        <v>0</v>
      </c>
    </row>
    <row r="119">
      <c r="A119" t="inlineStr">
        <is>
          <t>MN8-020</t>
        </is>
      </c>
      <c r="B119" s="9" t="n">
        <v>46023</v>
      </c>
      <c r="C119" t="n">
        <v>46.8</v>
      </c>
      <c r="D119" t="n">
        <v>50.8</v>
      </c>
      <c r="E119" t="n">
        <v>53030425</v>
      </c>
      <c r="F119" t="n">
        <v>151990253</v>
      </c>
      <c r="G119" t="n">
        <v>0.878</v>
      </c>
      <c r="H119" t="n">
        <v>5.93</v>
      </c>
      <c r="I119" t="n">
        <v>1</v>
      </c>
      <c r="J119" t="n">
        <v>0</v>
      </c>
    </row>
    <row r="120">
      <c r="A120" t="inlineStr">
        <is>
          <t>MN8-020</t>
        </is>
      </c>
      <c r="B120" s="9" t="n">
        <v>46054</v>
      </c>
      <c r="C120" t="n">
        <v>61.3</v>
      </c>
      <c r="D120" t="n">
        <v>57.1</v>
      </c>
      <c r="E120" t="n">
        <v>31429934</v>
      </c>
      <c r="F120" t="n">
        <v>162165653</v>
      </c>
      <c r="G120" t="n">
        <v>0.8159999999999999</v>
      </c>
      <c r="H120" t="n">
        <v>5.52</v>
      </c>
      <c r="I120" t="n">
        <v>0</v>
      </c>
      <c r="J120" t="n">
        <v>1</v>
      </c>
    </row>
    <row r="121">
      <c r="A121" t="inlineStr">
        <is>
          <t>MN8-020</t>
        </is>
      </c>
      <c r="B121" s="9" t="n">
        <v>46082</v>
      </c>
      <c r="C121" t="n">
        <v>70.59999999999999</v>
      </c>
      <c r="D121" t="n">
        <v>65.09999999999999</v>
      </c>
      <c r="E121" t="n">
        <v>49632339</v>
      </c>
      <c r="F121" t="n">
        <v>162165653</v>
      </c>
      <c r="G121" t="n">
        <v>0.82</v>
      </c>
      <c r="H121" t="n">
        <v>6.51</v>
      </c>
      <c r="I121" t="n">
        <v>0</v>
      </c>
      <c r="J121" t="n">
        <v>1</v>
      </c>
    </row>
    <row r="122">
      <c r="A122" t="inlineStr">
        <is>
          <t>MN8-021</t>
        </is>
      </c>
      <c r="B122" s="9" t="n">
        <v>45931</v>
      </c>
      <c r="C122" t="n">
        <v>78.90000000000001</v>
      </c>
      <c r="D122" t="n">
        <v>83.09999999999999</v>
      </c>
      <c r="E122" t="n">
        <v>13828350</v>
      </c>
      <c r="F122" t="n">
        <v>101428114</v>
      </c>
      <c r="G122" t="n">
        <v>0.95</v>
      </c>
      <c r="H122" t="n">
        <v/>
      </c>
      <c r="I122" t="n">
        <v>0</v>
      </c>
      <c r="J122" t="n">
        <v>3</v>
      </c>
    </row>
    <row r="123">
      <c r="A123" t="inlineStr">
        <is>
          <t>MN8-021</t>
        </is>
      </c>
      <c r="B123" s="9" t="n">
        <v>45962</v>
      </c>
      <c r="C123" t="n">
        <v>88</v>
      </c>
      <c r="D123" t="n">
        <v>90.59999999999999</v>
      </c>
      <c r="E123" t="n">
        <v>23871402</v>
      </c>
      <c r="F123" t="n">
        <v>115127357</v>
      </c>
      <c r="G123" t="n">
        <v>0.92</v>
      </c>
      <c r="H123" t="n">
        <v/>
      </c>
      <c r="I123" t="n">
        <v>0</v>
      </c>
      <c r="J123" t="n">
        <v>1</v>
      </c>
    </row>
    <row r="124">
      <c r="A124" t="inlineStr">
        <is>
          <t>MN8-021</t>
        </is>
      </c>
      <c r="B124" s="9" t="n">
        <v>45992</v>
      </c>
      <c r="C124" t="n">
        <v>97.8</v>
      </c>
      <c r="D124" t="n">
        <v>94</v>
      </c>
      <c r="E124" t="n">
        <v>10590986</v>
      </c>
      <c r="F124" t="n">
        <v>106375931</v>
      </c>
      <c r="G124" t="n">
        <v>0.901</v>
      </c>
      <c r="H124" t="n">
        <v/>
      </c>
      <c r="I124" t="n">
        <v>0</v>
      </c>
      <c r="J124" t="n">
        <v>1</v>
      </c>
    </row>
    <row r="125">
      <c r="A125" t="inlineStr">
        <is>
          <t>MN8-021</t>
        </is>
      </c>
      <c r="B125" s="9" t="n">
        <v>46023</v>
      </c>
      <c r="C125" t="n">
        <v>100</v>
      </c>
      <c r="D125" t="n">
        <v>100</v>
      </c>
      <c r="E125" t="n">
        <v>17130224</v>
      </c>
      <c r="F125" t="n">
        <v>111094624</v>
      </c>
      <c r="G125" t="n">
        <v>0.91</v>
      </c>
      <c r="H125" t="n">
        <v/>
      </c>
      <c r="I125" t="n">
        <v>2</v>
      </c>
      <c r="J125" t="n">
        <v>0</v>
      </c>
    </row>
    <row r="126">
      <c r="A126" t="inlineStr">
        <is>
          <t>MN8-021</t>
        </is>
      </c>
      <c r="B126" s="9" t="n">
        <v>46054</v>
      </c>
      <c r="C126" t="n">
        <v>100</v>
      </c>
      <c r="D126" t="n">
        <v>100</v>
      </c>
      <c r="E126" t="n">
        <v>18262541</v>
      </c>
      <c r="F126" t="n">
        <v>115127357</v>
      </c>
      <c r="G126" t="n">
        <v>0.952</v>
      </c>
      <c r="H126" t="n">
        <v/>
      </c>
      <c r="I126" t="n">
        <v>0</v>
      </c>
      <c r="J126" t="n">
        <v>0</v>
      </c>
    </row>
    <row r="127">
      <c r="A127" t="inlineStr">
        <is>
          <t>MN8-021</t>
        </is>
      </c>
      <c r="B127" s="9" t="n">
        <v>46082</v>
      </c>
      <c r="C127" t="n">
        <v>100</v>
      </c>
      <c r="D127" t="n">
        <v>100</v>
      </c>
      <c r="E127" t="n">
        <v>13153852</v>
      </c>
      <c r="F127" t="n">
        <v>115127357</v>
      </c>
      <c r="G127" t="n">
        <v>0.931</v>
      </c>
      <c r="H127" t="n">
        <v/>
      </c>
      <c r="I127" t="n">
        <v>0</v>
      </c>
      <c r="J127" t="n">
        <v>0</v>
      </c>
    </row>
    <row r="128">
      <c r="A128" t="inlineStr">
        <is>
          <t>MN8-022</t>
        </is>
      </c>
      <c r="B128" s="9" t="n">
        <v>45931</v>
      </c>
      <c r="C128" t="n">
        <v>7.9</v>
      </c>
      <c r="D128" t="n">
        <v>6.5</v>
      </c>
      <c r="E128" t="n">
        <v>24821336</v>
      </c>
      <c r="F128" t="n">
        <v>15805677</v>
      </c>
      <c r="G128" t="n">
        <v>0.843</v>
      </c>
      <c r="H128" t="n">
        <v>5.69</v>
      </c>
      <c r="I128" t="n">
        <v>0</v>
      </c>
      <c r="J128" t="n">
        <v>1</v>
      </c>
    </row>
    <row r="129">
      <c r="A129" t="inlineStr">
        <is>
          <t>MN8-022</t>
        </is>
      </c>
      <c r="B129" s="9" t="n">
        <v>45962</v>
      </c>
      <c r="C129" t="n">
        <v>11.5</v>
      </c>
      <c r="D129" t="n">
        <v>11.4</v>
      </c>
      <c r="E129" t="n">
        <v>48810574</v>
      </c>
      <c r="F129" t="n">
        <v>15071619</v>
      </c>
      <c r="G129" t="n">
        <v>0.869</v>
      </c>
      <c r="H129" t="n">
        <v>5.14</v>
      </c>
      <c r="I129" t="n">
        <v>0</v>
      </c>
      <c r="J129" t="n">
        <v>0</v>
      </c>
    </row>
    <row r="130">
      <c r="A130" t="inlineStr">
        <is>
          <t>MN8-022</t>
        </is>
      </c>
      <c r="B130" s="9" t="n">
        <v>45992</v>
      </c>
      <c r="C130" t="n">
        <v>15.6</v>
      </c>
      <c r="D130" t="n">
        <v>19.6</v>
      </c>
      <c r="E130" t="n">
        <v>22247852</v>
      </c>
      <c r="F130" t="n">
        <v>15609222</v>
      </c>
      <c r="G130" t="n">
        <v>0.83</v>
      </c>
      <c r="H130" t="n">
        <v>6.6</v>
      </c>
      <c r="I130" t="n">
        <v>0</v>
      </c>
      <c r="J130" t="n">
        <v>0</v>
      </c>
    </row>
    <row r="131">
      <c r="A131" t="inlineStr">
        <is>
          <t>MN8-022</t>
        </is>
      </c>
      <c r="B131" s="9" t="n">
        <v>46023</v>
      </c>
      <c r="C131" t="n">
        <v>32.3</v>
      </c>
      <c r="D131" t="n">
        <v>28.2</v>
      </c>
      <c r="E131" t="n">
        <v>22157632</v>
      </c>
      <c r="F131" t="n">
        <v>14885636</v>
      </c>
      <c r="G131" t="n">
        <v>0.794</v>
      </c>
      <c r="H131" t="n">
        <v>6.34</v>
      </c>
      <c r="I131" t="n">
        <v>0</v>
      </c>
      <c r="J131" t="n">
        <v>0</v>
      </c>
    </row>
    <row r="132">
      <c r="A132" t="inlineStr">
        <is>
          <t>MN8-022</t>
        </is>
      </c>
      <c r="B132" s="9" t="n">
        <v>46054</v>
      </c>
      <c r="C132" t="n">
        <v>46.4</v>
      </c>
      <c r="D132" t="n">
        <v>40.1</v>
      </c>
      <c r="E132" t="n">
        <v>23446458</v>
      </c>
      <c r="F132" t="n">
        <v>14771188</v>
      </c>
      <c r="G132" t="n">
        <v>0.822</v>
      </c>
      <c r="H132" t="n">
        <v>4.37</v>
      </c>
      <c r="I132" t="n">
        <v>0</v>
      </c>
      <c r="J132" t="n">
        <v>2</v>
      </c>
    </row>
    <row r="133">
      <c r="A133" t="inlineStr">
        <is>
          <t>MN8-022</t>
        </is>
      </c>
      <c r="B133" s="9" t="n">
        <v>46082</v>
      </c>
      <c r="C133" t="n">
        <v>44.6</v>
      </c>
      <c r="D133" t="n">
        <v>48</v>
      </c>
      <c r="E133" t="n">
        <v>31629911</v>
      </c>
      <c r="F133" t="n">
        <v>15805677</v>
      </c>
      <c r="G133" t="n">
        <v>0.828</v>
      </c>
      <c r="H133" t="n">
        <v>5.67</v>
      </c>
      <c r="I133" t="n">
        <v>0</v>
      </c>
      <c r="J133" t="n">
        <v>0</v>
      </c>
    </row>
    <row r="134">
      <c r="A134" t="inlineStr">
        <is>
          <t>MN8-023</t>
        </is>
      </c>
      <c r="B134" s="9" t="n">
        <v>45931</v>
      </c>
      <c r="C134" t="n">
        <v>11</v>
      </c>
      <c r="D134" t="n">
        <v>4.8</v>
      </c>
      <c r="E134" t="n">
        <v>6767734</v>
      </c>
      <c r="F134" t="n">
        <v>15244898</v>
      </c>
      <c r="G134" t="n">
        <v>0.919</v>
      </c>
      <c r="H134" t="n">
        <v/>
      </c>
      <c r="I134" t="n">
        <v>0</v>
      </c>
      <c r="J134" t="n">
        <v>0</v>
      </c>
    </row>
    <row r="135">
      <c r="A135" t="inlineStr">
        <is>
          <t>MN8-023</t>
        </is>
      </c>
      <c r="B135" s="9" t="n">
        <v>45962</v>
      </c>
      <c r="C135" t="n">
        <v>9.4</v>
      </c>
      <c r="D135" t="n">
        <v>10.4</v>
      </c>
      <c r="E135" t="n">
        <v>8539456</v>
      </c>
      <c r="F135" t="n">
        <v>14614939</v>
      </c>
      <c r="G135" t="n">
        <v>0.9340000000000001</v>
      </c>
      <c r="H135" t="n">
        <v/>
      </c>
      <c r="I135" t="n">
        <v>1</v>
      </c>
      <c r="J135" t="n">
        <v>0</v>
      </c>
    </row>
    <row r="136">
      <c r="A136" t="inlineStr">
        <is>
          <t>MN8-023</t>
        </is>
      </c>
      <c r="B136" s="9" t="n">
        <v>45992</v>
      </c>
      <c r="C136" t="n">
        <v>20.1</v>
      </c>
      <c r="D136" t="n">
        <v>22.8</v>
      </c>
      <c r="E136" t="n">
        <v>8454005</v>
      </c>
      <c r="F136" t="n">
        <v>15445262</v>
      </c>
      <c r="G136" t="n">
        <v>0.956</v>
      </c>
      <c r="H136" t="n">
        <v/>
      </c>
      <c r="I136" t="n">
        <v>0</v>
      </c>
      <c r="J136" t="n">
        <v>0</v>
      </c>
    </row>
    <row r="137">
      <c r="A137" t="inlineStr">
        <is>
          <t>MN8-023</t>
        </is>
      </c>
      <c r="B137" s="9" t="n">
        <v>46023</v>
      </c>
      <c r="C137" t="n">
        <v>37.9</v>
      </c>
      <c r="D137" t="n">
        <v>31.6</v>
      </c>
      <c r="E137" t="n">
        <v>7589085</v>
      </c>
      <c r="F137" t="n">
        <v>14270655</v>
      </c>
      <c r="G137" t="n">
        <v>0.954</v>
      </c>
      <c r="H137" t="n">
        <v/>
      </c>
      <c r="I137" t="n">
        <v>0</v>
      </c>
      <c r="J137" t="n">
        <v>1</v>
      </c>
    </row>
    <row r="138">
      <c r="A138" t="inlineStr">
        <is>
          <t>MN8-023</t>
        </is>
      </c>
      <c r="B138" s="9" t="n">
        <v>46054</v>
      </c>
      <c r="C138" t="n">
        <v>38.4</v>
      </c>
      <c r="D138" t="n">
        <v>34.9</v>
      </c>
      <c r="E138" t="n">
        <v>4299873</v>
      </c>
      <c r="F138" t="n">
        <v>15445262</v>
      </c>
      <c r="G138" t="n">
        <v>0.96</v>
      </c>
      <c r="H138" t="n">
        <v/>
      </c>
      <c r="I138" t="n">
        <v>0</v>
      </c>
      <c r="J138" t="n">
        <v>3</v>
      </c>
    </row>
    <row r="139">
      <c r="A139" t="inlineStr">
        <is>
          <t>MN8-023</t>
        </is>
      </c>
      <c r="B139" s="9" t="n">
        <v>46082</v>
      </c>
      <c r="C139" t="n">
        <v>52.9</v>
      </c>
      <c r="D139" t="n">
        <v>46.6</v>
      </c>
      <c r="E139" t="n">
        <v>9090271</v>
      </c>
      <c r="F139" t="n">
        <v>15348144</v>
      </c>
      <c r="G139" t="n">
        <v>0.9389999999999999</v>
      </c>
      <c r="H139" t="n">
        <v/>
      </c>
      <c r="I139" t="n">
        <v>1</v>
      </c>
      <c r="J139" t="n">
        <v>0</v>
      </c>
    </row>
    <row r="140">
      <c r="A140" t="inlineStr">
        <is>
          <t>MN8-024</t>
        </is>
      </c>
      <c r="B140" s="9" t="n">
        <v>45931</v>
      </c>
      <c r="C140" t="n">
        <v>78.5</v>
      </c>
      <c r="D140" t="n">
        <v>77.8</v>
      </c>
      <c r="E140" t="n">
        <v>29262373</v>
      </c>
      <c r="F140" t="n">
        <v>112453500</v>
      </c>
      <c r="G140" t="n">
        <v>0.924</v>
      </c>
      <c r="H140" t="n">
        <v/>
      </c>
      <c r="I140" t="n">
        <v>0</v>
      </c>
      <c r="J140" t="n">
        <v>0</v>
      </c>
    </row>
    <row r="141">
      <c r="A141" t="inlineStr">
        <is>
          <t>MN8-024</t>
        </is>
      </c>
      <c r="B141" s="9" t="n">
        <v>45962</v>
      </c>
      <c r="C141" t="n">
        <v>86.8</v>
      </c>
      <c r="D141" t="n">
        <v>86.59999999999999</v>
      </c>
      <c r="E141" t="n">
        <v>26545226</v>
      </c>
      <c r="F141" t="n">
        <v>116646391</v>
      </c>
      <c r="G141" t="n">
        <v>0.916</v>
      </c>
      <c r="H141" t="n">
        <v/>
      </c>
      <c r="I141" t="n">
        <v>0</v>
      </c>
      <c r="J141" t="n">
        <v>0</v>
      </c>
    </row>
    <row r="142">
      <c r="A142" t="inlineStr">
        <is>
          <t>MN8-024</t>
        </is>
      </c>
      <c r="B142" s="9" t="n">
        <v>45992</v>
      </c>
      <c r="C142" t="n">
        <v>96.90000000000001</v>
      </c>
      <c r="D142" t="n">
        <v>93.2</v>
      </c>
      <c r="E142" t="n">
        <v>24858168</v>
      </c>
      <c r="F142" t="n">
        <v>117817247</v>
      </c>
      <c r="G142" t="n">
        <v>0.91</v>
      </c>
      <c r="H142" t="n">
        <v/>
      </c>
      <c r="I142" t="n">
        <v>1</v>
      </c>
      <c r="J142" t="n">
        <v>0</v>
      </c>
    </row>
    <row r="143">
      <c r="A143" t="inlineStr">
        <is>
          <t>MN8-024</t>
        </is>
      </c>
      <c r="B143" s="9" t="n">
        <v>46023</v>
      </c>
      <c r="C143" t="n">
        <v>94.90000000000001</v>
      </c>
      <c r="D143" t="n">
        <v>99.59999999999999</v>
      </c>
      <c r="E143" t="n">
        <v>18679821</v>
      </c>
      <c r="F143" t="n">
        <v>116515729</v>
      </c>
      <c r="G143" t="n">
        <v>0.912</v>
      </c>
      <c r="H143" t="n">
        <v/>
      </c>
      <c r="I143" t="n">
        <v>0</v>
      </c>
      <c r="J143" t="n">
        <v>0</v>
      </c>
    </row>
    <row r="144">
      <c r="A144" t="inlineStr">
        <is>
          <t>MN8-024</t>
        </is>
      </c>
      <c r="B144" s="9" t="n">
        <v>46054</v>
      </c>
      <c r="C144" t="n">
        <v>100</v>
      </c>
      <c r="D144" t="n">
        <v>100</v>
      </c>
      <c r="E144" t="n">
        <v>32319754</v>
      </c>
      <c r="F144" t="n">
        <v>110860142</v>
      </c>
      <c r="G144" t="n">
        <v>0.896</v>
      </c>
      <c r="H144" t="n">
        <v/>
      </c>
      <c r="I144" t="n">
        <v>0</v>
      </c>
      <c r="J144" t="n">
        <v>1</v>
      </c>
    </row>
    <row r="145">
      <c r="A145" t="inlineStr">
        <is>
          <t>MN8-024</t>
        </is>
      </c>
      <c r="B145" s="9" t="n">
        <v>46082</v>
      </c>
      <c r="C145" t="n">
        <v>98.2</v>
      </c>
      <c r="D145" t="n">
        <v>100</v>
      </c>
      <c r="E145" t="n">
        <v>31687155</v>
      </c>
      <c r="F145" t="n">
        <v>111516926</v>
      </c>
      <c r="G145" t="n">
        <v>0.955</v>
      </c>
      <c r="H145" t="n">
        <v/>
      </c>
      <c r="I145" t="n">
        <v>0</v>
      </c>
      <c r="J1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3" customWidth="1" min="4" max="4"/>
    <col width="24" customWidth="1" min="5" max="5"/>
    <col width="10" customWidth="1" min="6" max="6"/>
    <col width="8" customWidth="1" min="7" max="7"/>
    <col width="13" customWidth="1" min="8" max="8"/>
    <col width="17" customWidth="1" min="9" max="9"/>
    <col width="18" customWidth="1" min="10" max="10"/>
    <col width="24" customWidth="1" min="11" max="11"/>
  </cols>
  <sheetData>
    <row r="1">
      <c r="A1" s="8" t="inlineStr">
        <is>
          <t>issue_id</t>
        </is>
      </c>
      <c r="B1" s="8" t="inlineStr">
        <is>
          <t>project_id</t>
        </is>
      </c>
      <c r="C1" s="8" t="inlineStr">
        <is>
          <t>opened_date</t>
        </is>
      </c>
      <c r="D1" s="8" t="inlineStr">
        <is>
          <t>closed_date</t>
        </is>
      </c>
      <c r="E1" s="8" t="inlineStr">
        <is>
          <t>root_cause</t>
        </is>
      </c>
      <c r="F1" s="8" t="inlineStr">
        <is>
          <t>severity</t>
        </is>
      </c>
      <c r="G1" s="8" t="inlineStr">
        <is>
          <t>status</t>
        </is>
      </c>
      <c r="H1" s="8" t="inlineStr">
        <is>
          <t>impact_days</t>
        </is>
      </c>
      <c r="I1" s="8" t="inlineStr">
        <is>
          <t>impact_cost_usd</t>
        </is>
      </c>
      <c r="J1" s="8" t="inlineStr">
        <is>
          <t>owner_function</t>
        </is>
      </c>
      <c r="K1" s="8" t="inlineStr">
        <is>
          <t>requires_exec_escalation</t>
        </is>
      </c>
    </row>
    <row r="2">
      <c r="A2" t="inlineStr">
        <is>
          <t>ISS-0001</t>
        </is>
      </c>
      <c r="B2" t="inlineStr">
        <is>
          <t>MN8-001</t>
        </is>
      </c>
      <c r="C2" s="9" t="n">
        <v>45944</v>
      </c>
      <c r="D2" s="9" t="n">
        <v>45980</v>
      </c>
      <c r="E2" t="inlineStr">
        <is>
          <t>Interconnection delay</t>
        </is>
      </c>
      <c r="F2" t="inlineStr">
        <is>
          <t>Medium</t>
        </is>
      </c>
      <c r="G2" t="inlineStr">
        <is>
          <t>Closed</t>
        </is>
      </c>
      <c r="H2" t="n">
        <v>29</v>
      </c>
      <c r="I2" t="n">
        <v>93509</v>
      </c>
      <c r="J2" t="inlineStr">
        <is>
          <t>Engineering</t>
        </is>
      </c>
      <c r="K2" t="inlineStr">
        <is>
          <t>No</t>
        </is>
      </c>
    </row>
    <row r="3">
      <c r="A3" t="inlineStr">
        <is>
          <t>ISS-0002</t>
        </is>
      </c>
      <c r="B3" t="inlineStr">
        <is>
          <t>MN8-001</t>
        </is>
      </c>
      <c r="C3" s="9" t="n">
        <v>45871</v>
      </c>
      <c r="D3" s="9" t="n">
        <v>45921</v>
      </c>
      <c r="E3" t="inlineStr">
        <is>
          <t>Design revision</t>
        </is>
      </c>
      <c r="F3" t="inlineStr">
        <is>
          <t>High</t>
        </is>
      </c>
      <c r="G3" t="inlineStr">
        <is>
          <t>Closed</t>
        </is>
      </c>
      <c r="H3" t="n">
        <v>45</v>
      </c>
      <c r="I3" t="n">
        <v>224050</v>
      </c>
      <c r="J3" t="inlineStr">
        <is>
          <t>Procurement</t>
        </is>
      </c>
      <c r="K3" t="inlineStr">
        <is>
          <t>Yes</t>
        </is>
      </c>
    </row>
    <row r="4">
      <c r="A4" t="inlineStr">
        <is>
          <t>ISS-0003</t>
        </is>
      </c>
      <c r="B4" t="inlineStr">
        <is>
          <t>MN8-001</t>
        </is>
      </c>
      <c r="C4" s="9" t="n">
        <v>45907</v>
      </c>
      <c r="D4" s="9" t="n">
        <v>45927</v>
      </c>
      <c r="E4" t="inlineStr">
        <is>
          <t>Supply chain</t>
        </is>
      </c>
      <c r="F4" t="inlineStr">
        <is>
          <t>Low</t>
        </is>
      </c>
      <c r="G4" t="inlineStr">
        <is>
          <t>Closed</t>
        </is>
      </c>
      <c r="H4" t="n">
        <v>1</v>
      </c>
      <c r="I4" t="n">
        <v>29229</v>
      </c>
      <c r="J4" t="inlineStr">
        <is>
          <t>Project Controls</t>
        </is>
      </c>
      <c r="K4" t="inlineStr">
        <is>
          <t>No</t>
        </is>
      </c>
    </row>
    <row r="5">
      <c r="A5" t="inlineStr">
        <is>
          <t>ISS-0004</t>
        </is>
      </c>
      <c r="B5" t="inlineStr">
        <is>
          <t>MN8-001</t>
        </is>
      </c>
      <c r="C5" s="9" t="n">
        <v>45928</v>
      </c>
      <c r="D5" s="9" t="n">
        <v>45945</v>
      </c>
      <c r="E5" t="inlineStr">
        <is>
          <t>Weather</t>
        </is>
      </c>
      <c r="F5" t="inlineStr">
        <is>
          <t>Low</t>
        </is>
      </c>
      <c r="G5" t="inlineStr">
        <is>
          <t>Open</t>
        </is>
      </c>
      <c r="H5" t="n">
        <v>5</v>
      </c>
      <c r="I5" t="n">
        <v>74148</v>
      </c>
      <c r="J5" t="inlineStr">
        <is>
          <t>Construction</t>
        </is>
      </c>
      <c r="K5" t="inlineStr">
        <is>
          <t>No</t>
        </is>
      </c>
    </row>
    <row r="6">
      <c r="A6" t="inlineStr">
        <is>
          <t>ISS-0005</t>
        </is>
      </c>
      <c r="B6" t="inlineStr">
        <is>
          <t>MN8-001</t>
        </is>
      </c>
      <c r="C6" s="9" t="n">
        <v>45871</v>
      </c>
      <c r="D6" s="9" t="n">
        <v>45913</v>
      </c>
      <c r="E6" t="inlineStr">
        <is>
          <t>Supply chain</t>
        </is>
      </c>
      <c r="F6" t="inlineStr">
        <is>
          <t>High</t>
        </is>
      </c>
      <c r="G6" t="inlineStr">
        <is>
          <t>Closed</t>
        </is>
      </c>
      <c r="H6" t="n">
        <v>31</v>
      </c>
      <c r="I6" t="n">
        <v>222702</v>
      </c>
      <c r="J6" t="inlineStr">
        <is>
          <t>Development</t>
        </is>
      </c>
      <c r="K6" t="inlineStr">
        <is>
          <t>Yes</t>
        </is>
      </c>
    </row>
    <row r="7">
      <c r="A7" t="inlineStr">
        <is>
          <t>ISS-0006</t>
        </is>
      </c>
      <c r="B7" t="inlineStr">
        <is>
          <t>MN8-001</t>
        </is>
      </c>
      <c r="C7" s="9" t="n">
        <v>45906</v>
      </c>
      <c r="D7" s="9" t="n">
        <v>45947</v>
      </c>
      <c r="E7" t="inlineStr">
        <is>
          <t>Supply chain</t>
        </is>
      </c>
      <c r="F7" t="inlineStr">
        <is>
          <t>High</t>
        </is>
      </c>
      <c r="G7" t="inlineStr">
        <is>
          <t>Closed</t>
        </is>
      </c>
      <c r="H7" t="n">
        <v>22</v>
      </c>
      <c r="I7" t="n">
        <v>173235</v>
      </c>
      <c r="J7" t="inlineStr">
        <is>
          <t>Construction</t>
        </is>
      </c>
      <c r="K7" t="inlineStr">
        <is>
          <t>Yes</t>
        </is>
      </c>
    </row>
    <row r="8">
      <c r="A8" t="inlineStr">
        <is>
          <t>ISS-0007</t>
        </is>
      </c>
      <c r="B8" t="inlineStr">
        <is>
          <t>MN8-002</t>
        </is>
      </c>
      <c r="C8" s="9" t="n">
        <v>45875</v>
      </c>
      <c r="D8" s="9" t="n">
        <v>45901</v>
      </c>
      <c r="E8" t="inlineStr">
        <is>
          <t>Permit approval</t>
        </is>
      </c>
      <c r="F8" t="inlineStr">
        <is>
          <t>Medium</t>
        </is>
      </c>
      <c r="G8" t="inlineStr">
        <is>
          <t>Closed</t>
        </is>
      </c>
      <c r="H8" t="n">
        <v>13</v>
      </c>
      <c r="I8" t="n">
        <v>91238</v>
      </c>
      <c r="J8" t="inlineStr">
        <is>
          <t>Construction</t>
        </is>
      </c>
      <c r="K8" t="inlineStr">
        <is>
          <t>No</t>
        </is>
      </c>
    </row>
    <row r="9">
      <c r="A9" t="inlineStr">
        <is>
          <t>ISS-0008</t>
        </is>
      </c>
      <c r="B9" t="inlineStr">
        <is>
          <t>MN8-002</t>
        </is>
      </c>
      <c r="C9" s="9" t="n">
        <v>45971</v>
      </c>
      <c r="D9" s="9" t="n">
        <v>46004</v>
      </c>
      <c r="E9" t="inlineStr">
        <is>
          <t>Equipment lead time</t>
        </is>
      </c>
      <c r="F9" t="inlineStr">
        <is>
          <t>Medium</t>
        </is>
      </c>
      <c r="G9" t="inlineStr">
        <is>
          <t>Closed</t>
        </is>
      </c>
      <c r="H9" t="n">
        <v>21</v>
      </c>
      <c r="I9" t="n">
        <v>87279</v>
      </c>
      <c r="J9" t="inlineStr">
        <is>
          <t>Development</t>
        </is>
      </c>
      <c r="K9" t="inlineStr">
        <is>
          <t>No</t>
        </is>
      </c>
    </row>
    <row r="10">
      <c r="A10" t="inlineStr">
        <is>
          <t>ISS-0009</t>
        </is>
      </c>
      <c r="B10" t="inlineStr">
        <is>
          <t>MN8-002</t>
        </is>
      </c>
      <c r="C10" s="9" t="n">
        <v>45910</v>
      </c>
      <c r="D10" s="9" t="n">
        <v>45939</v>
      </c>
      <c r="E10" t="inlineStr">
        <is>
          <t>Design revision</t>
        </is>
      </c>
      <c r="F10" t="inlineStr">
        <is>
          <t>Medium</t>
        </is>
      </c>
      <c r="G10" t="inlineStr">
        <is>
          <t>Closed</t>
        </is>
      </c>
      <c r="H10" t="n">
        <v>15</v>
      </c>
      <c r="I10" t="n">
        <v>92484</v>
      </c>
      <c r="J10" t="inlineStr">
        <is>
          <t>Engineering</t>
        </is>
      </c>
      <c r="K10" t="inlineStr">
        <is>
          <t>No</t>
        </is>
      </c>
    </row>
    <row r="11">
      <c r="A11" t="inlineStr">
        <is>
          <t>ISS-0010</t>
        </is>
      </c>
      <c r="B11" t="inlineStr">
        <is>
          <t>MN8-003</t>
        </is>
      </c>
      <c r="C11" s="9" t="n">
        <v>45932</v>
      </c>
      <c r="D11" s="9" t="n">
        <v>45951</v>
      </c>
      <c r="E11" t="inlineStr">
        <is>
          <t>Contractor productivity</t>
        </is>
      </c>
      <c r="F11" t="inlineStr">
        <is>
          <t>Medium</t>
        </is>
      </c>
      <c r="G11" t="inlineStr">
        <is>
          <t>Closed</t>
        </is>
      </c>
      <c r="H11" t="n">
        <v>18</v>
      </c>
      <c r="I11" t="n">
        <v>58581</v>
      </c>
      <c r="J11" t="inlineStr">
        <is>
          <t>Construction</t>
        </is>
      </c>
      <c r="K11" t="inlineStr">
        <is>
          <t>No</t>
        </is>
      </c>
    </row>
    <row r="12">
      <c r="A12" t="inlineStr">
        <is>
          <t>ISS-0011</t>
        </is>
      </c>
      <c r="B12" t="inlineStr">
        <is>
          <t>MN8-003</t>
        </is>
      </c>
      <c r="C12" s="9" t="n">
        <v>45902</v>
      </c>
      <c r="D12" s="9" t="n">
        <v>45953</v>
      </c>
      <c r="E12" t="inlineStr">
        <is>
          <t>Contractor productivity</t>
        </is>
      </c>
      <c r="F12" t="inlineStr">
        <is>
          <t>High</t>
        </is>
      </c>
      <c r="G12" t="inlineStr">
        <is>
          <t>Open</t>
        </is>
      </c>
      <c r="H12" t="n">
        <v>38</v>
      </c>
      <c r="I12" t="n">
        <v>141423</v>
      </c>
      <c r="J12" t="inlineStr">
        <is>
          <t>Engineering</t>
        </is>
      </c>
      <c r="K12" t="inlineStr">
        <is>
          <t>Yes</t>
        </is>
      </c>
    </row>
    <row r="13">
      <c r="A13" t="inlineStr">
        <is>
          <t>ISS-0012</t>
        </is>
      </c>
      <c r="B13" t="inlineStr">
        <is>
          <t>MN8-003</t>
        </is>
      </c>
      <c r="C13" s="9" t="n">
        <v>45891</v>
      </c>
      <c r="D13" s="9" t="n">
        <v>45898</v>
      </c>
      <c r="E13" t="inlineStr">
        <is>
          <t>Site access</t>
        </is>
      </c>
      <c r="F13" t="inlineStr">
        <is>
          <t>Low</t>
        </is>
      </c>
      <c r="G13" t="inlineStr">
        <is>
          <t>Open</t>
        </is>
      </c>
      <c r="H13" t="n">
        <v>9</v>
      </c>
      <c r="I13" t="n">
        <v>35589</v>
      </c>
      <c r="J13" t="inlineStr">
        <is>
          <t>Construction</t>
        </is>
      </c>
      <c r="K13" t="inlineStr">
        <is>
          <t>No</t>
        </is>
      </c>
    </row>
    <row r="14">
      <c r="A14" t="inlineStr">
        <is>
          <t>ISS-0013</t>
        </is>
      </c>
      <c r="B14" t="inlineStr">
        <is>
          <t>MN8-004</t>
        </is>
      </c>
      <c r="C14" s="9" t="n">
        <v>45919</v>
      </c>
      <c r="D14" s="9" t="n">
        <v>45972</v>
      </c>
      <c r="E14" t="inlineStr">
        <is>
          <t>Interconnection delay</t>
        </is>
      </c>
      <c r="F14" t="inlineStr">
        <is>
          <t>High</t>
        </is>
      </c>
      <c r="G14" t="inlineStr">
        <is>
          <t>Closed</t>
        </is>
      </c>
      <c r="H14" t="n">
        <v>32</v>
      </c>
      <c r="I14" t="n">
        <v>168984</v>
      </c>
      <c r="J14" t="inlineStr">
        <is>
          <t>Development</t>
        </is>
      </c>
      <c r="K14" t="inlineStr">
        <is>
          <t>Yes</t>
        </is>
      </c>
    </row>
    <row r="15">
      <c r="A15" t="inlineStr">
        <is>
          <t>ISS-0014</t>
        </is>
      </c>
      <c r="B15" t="inlineStr">
        <is>
          <t>MN8-004</t>
        </is>
      </c>
      <c r="C15" s="9" t="n">
        <v>46008</v>
      </c>
      <c r="D15" s="9" t="n">
        <v>46028</v>
      </c>
      <c r="E15" t="inlineStr">
        <is>
          <t>Interconnection delay</t>
        </is>
      </c>
      <c r="F15" t="inlineStr">
        <is>
          <t>Medium</t>
        </is>
      </c>
      <c r="G15" t="inlineStr">
        <is>
          <t>Closed</t>
        </is>
      </c>
      <c r="H15" t="n">
        <v>9</v>
      </c>
      <c r="I15" t="n">
        <v>43627</v>
      </c>
      <c r="J15" t="inlineStr">
        <is>
          <t>Procurement</t>
        </is>
      </c>
      <c r="K15" t="inlineStr">
        <is>
          <t>No</t>
        </is>
      </c>
    </row>
    <row r="16">
      <c r="A16" t="inlineStr">
        <is>
          <t>ISS-0015</t>
        </is>
      </c>
      <c r="B16" t="inlineStr">
        <is>
          <t>MN8-004</t>
        </is>
      </c>
      <c r="C16" s="9" t="n">
        <v>45909</v>
      </c>
      <c r="D16" s="9" t="n">
        <v>45940</v>
      </c>
      <c r="E16" t="inlineStr">
        <is>
          <t>Permit approval</t>
        </is>
      </c>
      <c r="F16" t="inlineStr">
        <is>
          <t>Medium</t>
        </is>
      </c>
      <c r="G16" t="inlineStr">
        <is>
          <t>Closed</t>
        </is>
      </c>
      <c r="H16" t="n">
        <v>20</v>
      </c>
      <c r="I16" t="n">
        <v>10967</v>
      </c>
      <c r="J16" t="inlineStr">
        <is>
          <t>Procurement</t>
        </is>
      </c>
      <c r="K16" t="inlineStr">
        <is>
          <t>No</t>
        </is>
      </c>
    </row>
    <row r="17">
      <c r="A17" t="inlineStr">
        <is>
          <t>ISS-0016</t>
        </is>
      </c>
      <c r="B17" t="inlineStr">
        <is>
          <t>MN8-005</t>
        </is>
      </c>
      <c r="C17" s="9" t="n">
        <v>45870</v>
      </c>
      <c r="D17" s="9" t="n">
        <v>45919</v>
      </c>
      <c r="E17" t="inlineStr">
        <is>
          <t>Weather</t>
        </is>
      </c>
      <c r="F17" t="inlineStr">
        <is>
          <t>High</t>
        </is>
      </c>
      <c r="G17" t="inlineStr">
        <is>
          <t>Closed</t>
        </is>
      </c>
      <c r="H17" t="n">
        <v>36</v>
      </c>
      <c r="I17" t="n">
        <v>253053</v>
      </c>
      <c r="J17" t="inlineStr">
        <is>
          <t>Development</t>
        </is>
      </c>
      <c r="K17" t="inlineStr">
        <is>
          <t>Yes</t>
        </is>
      </c>
    </row>
    <row r="18">
      <c r="A18" t="inlineStr">
        <is>
          <t>ISS-0017</t>
        </is>
      </c>
      <c r="B18" t="inlineStr">
        <is>
          <t>MN8-005</t>
        </is>
      </c>
      <c r="C18" s="9" t="n">
        <v>45917</v>
      </c>
      <c r="D18" s="9" t="n">
        <v>45919</v>
      </c>
      <c r="E18" t="inlineStr">
        <is>
          <t>Quality rework</t>
        </is>
      </c>
      <c r="F18" t="inlineStr">
        <is>
          <t>Low</t>
        </is>
      </c>
      <c r="G18" t="inlineStr">
        <is>
          <t>Closed</t>
        </is>
      </c>
      <c r="H18" t="n">
        <v>6</v>
      </c>
      <c r="I18" t="n">
        <v>80677</v>
      </c>
      <c r="J18" t="inlineStr">
        <is>
          <t>Procurement</t>
        </is>
      </c>
      <c r="K18" t="inlineStr">
        <is>
          <t>No</t>
        </is>
      </c>
    </row>
    <row r="19">
      <c r="A19" t="inlineStr">
        <is>
          <t>ISS-0018</t>
        </is>
      </c>
      <c r="B19" t="inlineStr">
        <is>
          <t>MN8-005</t>
        </is>
      </c>
      <c r="C19" s="9" t="n">
        <v>45940</v>
      </c>
      <c r="D19" s="9" t="n">
        <v>45971</v>
      </c>
      <c r="E19" t="inlineStr">
        <is>
          <t>Site access</t>
        </is>
      </c>
      <c r="F19" t="inlineStr">
        <is>
          <t>High</t>
        </is>
      </c>
      <c r="G19" t="inlineStr">
        <is>
          <t>Closed</t>
        </is>
      </c>
      <c r="H19" t="n">
        <v>30</v>
      </c>
      <c r="I19" t="n">
        <v>179906</v>
      </c>
      <c r="J19" t="inlineStr">
        <is>
          <t>Development</t>
        </is>
      </c>
      <c r="K19" t="inlineStr">
        <is>
          <t>Yes</t>
        </is>
      </c>
    </row>
    <row r="20">
      <c r="A20" t="inlineStr">
        <is>
          <t>ISS-0019</t>
        </is>
      </c>
      <c r="B20" t="inlineStr">
        <is>
          <t>MN8-005</t>
        </is>
      </c>
      <c r="C20" s="9" t="n">
        <v>45992</v>
      </c>
      <c r="D20" s="9" t="n">
        <v>46028</v>
      </c>
      <c r="E20" t="inlineStr">
        <is>
          <t>Design revision</t>
        </is>
      </c>
      <c r="F20" t="inlineStr">
        <is>
          <t>Medium</t>
        </is>
      </c>
      <c r="G20" t="inlineStr">
        <is>
          <t>Closed</t>
        </is>
      </c>
      <c r="H20" t="n">
        <v>7</v>
      </c>
      <c r="I20" t="n">
        <v>5397</v>
      </c>
      <c r="J20" t="inlineStr">
        <is>
          <t>Development</t>
        </is>
      </c>
      <c r="K20" t="inlineStr">
        <is>
          <t>No</t>
        </is>
      </c>
    </row>
    <row r="21">
      <c r="A21" t="inlineStr">
        <is>
          <t>ISS-0020</t>
        </is>
      </c>
      <c r="B21" t="inlineStr">
        <is>
          <t>MN8-005</t>
        </is>
      </c>
      <c r="C21" s="9" t="n">
        <v>45909</v>
      </c>
      <c r="D21" s="9" t="n">
        <v>45921</v>
      </c>
      <c r="E21" t="inlineStr">
        <is>
          <t>Equipment lead time</t>
        </is>
      </c>
      <c r="F21" t="inlineStr">
        <is>
          <t>Medium</t>
        </is>
      </c>
      <c r="G21" t="inlineStr">
        <is>
          <t>Closed</t>
        </is>
      </c>
      <c r="H21" t="n">
        <v>19</v>
      </c>
      <c r="I21" t="n">
        <v>119682</v>
      </c>
      <c r="J21" t="inlineStr">
        <is>
          <t>Engineering</t>
        </is>
      </c>
      <c r="K21" t="inlineStr">
        <is>
          <t>No</t>
        </is>
      </c>
    </row>
    <row r="22">
      <c r="A22" t="inlineStr">
        <is>
          <t>ISS-0021</t>
        </is>
      </c>
      <c r="B22" t="inlineStr">
        <is>
          <t>MN8-005</t>
        </is>
      </c>
      <c r="C22" s="9" t="n">
        <v>45950</v>
      </c>
      <c r="D22" s="9" t="n">
        <v>45971</v>
      </c>
      <c r="E22" t="inlineStr">
        <is>
          <t>Supply chain</t>
        </is>
      </c>
      <c r="F22" t="inlineStr">
        <is>
          <t>Low</t>
        </is>
      </c>
      <c r="G22" t="inlineStr">
        <is>
          <t>Closed</t>
        </is>
      </c>
      <c r="H22" t="n">
        <v>1</v>
      </c>
      <c r="I22" t="n">
        <v>0</v>
      </c>
      <c r="J22" t="inlineStr">
        <is>
          <t>Procurement</t>
        </is>
      </c>
      <c r="K22" t="inlineStr">
        <is>
          <t>No</t>
        </is>
      </c>
    </row>
    <row r="23">
      <c r="A23" t="inlineStr">
        <is>
          <t>ISS-0022</t>
        </is>
      </c>
      <c r="B23" t="inlineStr">
        <is>
          <t>MN8-006</t>
        </is>
      </c>
      <c r="C23" s="9" t="n">
        <v>45947</v>
      </c>
      <c r="D23" s="9" t="n">
        <v>45984</v>
      </c>
      <c r="E23" t="inlineStr">
        <is>
          <t>Permit approval</t>
        </is>
      </c>
      <c r="F23" t="inlineStr">
        <is>
          <t>Medium</t>
        </is>
      </c>
      <c r="G23" t="inlineStr">
        <is>
          <t>Closed</t>
        </is>
      </c>
      <c r="H23" t="n">
        <v>18</v>
      </c>
      <c r="I23" t="n">
        <v>11051</v>
      </c>
      <c r="J23" t="inlineStr">
        <is>
          <t>Engineering</t>
        </is>
      </c>
      <c r="K23" t="inlineStr">
        <is>
          <t>No</t>
        </is>
      </c>
    </row>
    <row r="24">
      <c r="A24" t="inlineStr">
        <is>
          <t>ISS-0023</t>
        </is>
      </c>
      <c r="B24" t="inlineStr">
        <is>
          <t>MN8-006</t>
        </is>
      </c>
      <c r="C24" s="9" t="n">
        <v>45932</v>
      </c>
      <c r="D24" s="9" t="n">
        <v>45947</v>
      </c>
      <c r="E24" t="inlineStr">
        <is>
          <t>Interconnection delay</t>
        </is>
      </c>
      <c r="F24" t="inlineStr">
        <is>
          <t>Medium</t>
        </is>
      </c>
      <c r="G24" t="inlineStr">
        <is>
          <t>Closed</t>
        </is>
      </c>
      <c r="H24" t="n">
        <v>24</v>
      </c>
      <c r="I24" t="n">
        <v>5327</v>
      </c>
      <c r="J24" t="inlineStr">
        <is>
          <t>Project Controls</t>
        </is>
      </c>
      <c r="K24" t="inlineStr">
        <is>
          <t>No</t>
        </is>
      </c>
    </row>
    <row r="25">
      <c r="A25" t="inlineStr">
        <is>
          <t>ISS-0024</t>
        </is>
      </c>
      <c r="B25" t="inlineStr">
        <is>
          <t>MN8-006</t>
        </is>
      </c>
      <c r="C25" s="9" t="n">
        <v>45979</v>
      </c>
      <c r="D25" s="9" t="n">
        <v>45984</v>
      </c>
      <c r="E25" t="inlineStr">
        <is>
          <t>Design revision</t>
        </is>
      </c>
      <c r="F25" t="inlineStr">
        <is>
          <t>Low</t>
        </is>
      </c>
      <c r="G25" t="inlineStr">
        <is>
          <t>Closed</t>
        </is>
      </c>
      <c r="H25" t="n">
        <v>0</v>
      </c>
      <c r="I25" t="n">
        <v>108598</v>
      </c>
      <c r="J25" t="inlineStr">
        <is>
          <t>Development</t>
        </is>
      </c>
      <c r="K25" t="inlineStr">
        <is>
          <t>No</t>
        </is>
      </c>
    </row>
    <row r="26">
      <c r="A26" t="inlineStr">
        <is>
          <t>ISS-0025</t>
        </is>
      </c>
      <c r="B26" t="inlineStr">
        <is>
          <t>MN8-007</t>
        </is>
      </c>
      <c r="C26" s="9" t="n">
        <v>45918</v>
      </c>
      <c r="D26" s="9" t="n">
        <v>45930</v>
      </c>
      <c r="E26" t="inlineStr">
        <is>
          <t>Interconnection delay</t>
        </is>
      </c>
      <c r="F26" t="inlineStr">
        <is>
          <t>Low</t>
        </is>
      </c>
      <c r="G26" t="inlineStr">
        <is>
          <t>Closed</t>
        </is>
      </c>
      <c r="H26" t="n">
        <v>6</v>
      </c>
      <c r="I26" t="n">
        <v>0</v>
      </c>
      <c r="J26" t="inlineStr">
        <is>
          <t>Procurement</t>
        </is>
      </c>
      <c r="K26" t="inlineStr">
        <is>
          <t>No</t>
        </is>
      </c>
    </row>
    <row r="27">
      <c r="A27" t="inlineStr">
        <is>
          <t>ISS-0026</t>
        </is>
      </c>
      <c r="B27" t="inlineStr">
        <is>
          <t>MN8-007</t>
        </is>
      </c>
      <c r="C27" s="9" t="n">
        <v>45902</v>
      </c>
      <c r="D27" s="9" t="n">
        <v>45928</v>
      </c>
      <c r="E27" t="inlineStr">
        <is>
          <t>Contractor productivity</t>
        </is>
      </c>
      <c r="F27" t="inlineStr">
        <is>
          <t>Low</t>
        </is>
      </c>
      <c r="G27" t="inlineStr">
        <is>
          <t>Closed</t>
        </is>
      </c>
      <c r="H27" t="n">
        <v>16</v>
      </c>
      <c r="I27" t="n">
        <v>54176</v>
      </c>
      <c r="J27" t="inlineStr">
        <is>
          <t>Engineering</t>
        </is>
      </c>
      <c r="K27" t="inlineStr">
        <is>
          <t>No</t>
        </is>
      </c>
    </row>
    <row r="28">
      <c r="A28" t="inlineStr">
        <is>
          <t>ISS-0027</t>
        </is>
      </c>
      <c r="B28" t="inlineStr">
        <is>
          <t>MN8-007</t>
        </is>
      </c>
      <c r="C28" s="9" t="n">
        <v>45922</v>
      </c>
      <c r="D28" s="9" t="n">
        <v>45937</v>
      </c>
      <c r="E28" t="inlineStr">
        <is>
          <t>Site access</t>
        </is>
      </c>
      <c r="F28" t="inlineStr">
        <is>
          <t>Low</t>
        </is>
      </c>
      <c r="G28" t="inlineStr">
        <is>
          <t>Closed</t>
        </is>
      </c>
      <c r="H28" t="n">
        <v>0</v>
      </c>
      <c r="I28" t="n">
        <v>0</v>
      </c>
      <c r="J28" t="inlineStr">
        <is>
          <t>Development</t>
        </is>
      </c>
      <c r="K28" t="inlineStr">
        <is>
          <t>No</t>
        </is>
      </c>
    </row>
    <row r="29">
      <c r="A29" t="inlineStr">
        <is>
          <t>ISS-0028</t>
        </is>
      </c>
      <c r="B29" t="inlineStr">
        <is>
          <t>MN8-008</t>
        </is>
      </c>
      <c r="C29" s="9" t="n">
        <v>46015</v>
      </c>
      <c r="D29" s="9" t="n">
        <v>46033</v>
      </c>
      <c r="E29" t="inlineStr">
        <is>
          <t>Site access</t>
        </is>
      </c>
      <c r="F29" t="inlineStr">
        <is>
          <t>Medium</t>
        </is>
      </c>
      <c r="G29" t="inlineStr">
        <is>
          <t>Closed</t>
        </is>
      </c>
      <c r="H29" t="n">
        <v>11</v>
      </c>
      <c r="I29" t="n">
        <v>147708</v>
      </c>
      <c r="J29" t="inlineStr">
        <is>
          <t>Project Controls</t>
        </is>
      </c>
      <c r="K29" t="inlineStr">
        <is>
          <t>No</t>
        </is>
      </c>
    </row>
    <row r="30">
      <c r="A30" t="inlineStr">
        <is>
          <t>ISS-0029</t>
        </is>
      </c>
      <c r="B30" t="inlineStr">
        <is>
          <t>MN8-008</t>
        </is>
      </c>
      <c r="C30" s="9" t="n">
        <v>45914</v>
      </c>
      <c r="D30" s="9" t="n">
        <v>45962</v>
      </c>
      <c r="E30" t="inlineStr">
        <is>
          <t>Site access</t>
        </is>
      </c>
      <c r="F30" t="inlineStr">
        <is>
          <t>High</t>
        </is>
      </c>
      <c r="G30" t="inlineStr">
        <is>
          <t>Closed</t>
        </is>
      </c>
      <c r="H30" t="n">
        <v>23</v>
      </c>
      <c r="I30" t="n">
        <v>135419</v>
      </c>
      <c r="J30" t="inlineStr">
        <is>
          <t>Procurement</t>
        </is>
      </c>
      <c r="K30" t="inlineStr">
        <is>
          <t>Yes</t>
        </is>
      </c>
    </row>
    <row r="31">
      <c r="A31" t="inlineStr">
        <is>
          <t>ISS-0030</t>
        </is>
      </c>
      <c r="B31" t="inlineStr">
        <is>
          <t>MN8-008</t>
        </is>
      </c>
      <c r="C31" s="9" t="n">
        <v>45909</v>
      </c>
      <c r="D31" s="9" t="n">
        <v>45947</v>
      </c>
      <c r="E31" t="inlineStr">
        <is>
          <t>Supply chain</t>
        </is>
      </c>
      <c r="F31" t="inlineStr">
        <is>
          <t>Medium</t>
        </is>
      </c>
      <c r="G31" t="inlineStr">
        <is>
          <t>Closed</t>
        </is>
      </c>
      <c r="H31" t="n">
        <v>6</v>
      </c>
      <c r="I31" t="n">
        <v>73657</v>
      </c>
      <c r="J31" t="inlineStr">
        <is>
          <t>Engineering</t>
        </is>
      </c>
      <c r="K31" t="inlineStr">
        <is>
          <t>No</t>
        </is>
      </c>
    </row>
    <row r="32">
      <c r="A32" t="inlineStr">
        <is>
          <t>ISS-0031</t>
        </is>
      </c>
      <c r="B32" t="inlineStr">
        <is>
          <t>MN8-008</t>
        </is>
      </c>
      <c r="C32" s="9" t="n">
        <v>45969</v>
      </c>
      <c r="D32" s="9" t="n">
        <v>46002</v>
      </c>
      <c r="E32" t="inlineStr">
        <is>
          <t>Weather</t>
        </is>
      </c>
      <c r="F32" t="inlineStr">
        <is>
          <t>Low</t>
        </is>
      </c>
      <c r="G32" t="inlineStr">
        <is>
          <t>Closed</t>
        </is>
      </c>
      <c r="H32" t="n">
        <v>2</v>
      </c>
      <c r="I32" t="n">
        <v>74130</v>
      </c>
      <c r="J32" t="inlineStr">
        <is>
          <t>Construction</t>
        </is>
      </c>
      <c r="K32" t="inlineStr">
        <is>
          <t>No</t>
        </is>
      </c>
    </row>
    <row r="33">
      <c r="A33" t="inlineStr">
        <is>
          <t>ISS-0032</t>
        </is>
      </c>
      <c r="B33" t="inlineStr">
        <is>
          <t>MN8-009</t>
        </is>
      </c>
      <c r="C33" s="9" t="n">
        <v>45908</v>
      </c>
      <c r="D33" s="9" t="n">
        <v>45943</v>
      </c>
      <c r="E33" t="inlineStr">
        <is>
          <t>Equipment lead time</t>
        </is>
      </c>
      <c r="F33" t="inlineStr">
        <is>
          <t>High</t>
        </is>
      </c>
      <c r="G33" t="inlineStr">
        <is>
          <t>Closed</t>
        </is>
      </c>
      <c r="H33" t="n">
        <v>20</v>
      </c>
      <c r="I33" t="n">
        <v>165762</v>
      </c>
      <c r="J33" t="inlineStr">
        <is>
          <t>Project Controls</t>
        </is>
      </c>
      <c r="K33" t="inlineStr">
        <is>
          <t>No</t>
        </is>
      </c>
    </row>
    <row r="34">
      <c r="A34" t="inlineStr">
        <is>
          <t>ISS-0033</t>
        </is>
      </c>
      <c r="B34" t="inlineStr">
        <is>
          <t>MN8-009</t>
        </is>
      </c>
      <c r="C34" s="9" t="n">
        <v>45894</v>
      </c>
      <c r="D34" s="9" t="n">
        <v>45924</v>
      </c>
      <c r="E34" t="inlineStr">
        <is>
          <t>Weather</t>
        </is>
      </c>
      <c r="F34" t="inlineStr">
        <is>
          <t>Low</t>
        </is>
      </c>
      <c r="G34" t="inlineStr">
        <is>
          <t>Closed</t>
        </is>
      </c>
      <c r="H34" t="n">
        <v>5</v>
      </c>
      <c r="I34" t="n">
        <v>119370</v>
      </c>
      <c r="J34" t="inlineStr">
        <is>
          <t>Development</t>
        </is>
      </c>
      <c r="K34" t="inlineStr">
        <is>
          <t>No</t>
        </is>
      </c>
    </row>
    <row r="35">
      <c r="A35" t="inlineStr">
        <is>
          <t>ISS-0034</t>
        </is>
      </c>
      <c r="B35" t="inlineStr">
        <is>
          <t>MN8-009</t>
        </is>
      </c>
      <c r="C35" s="9" t="n">
        <v>46002</v>
      </c>
      <c r="D35" s="9" t="n">
        <v>46053</v>
      </c>
      <c r="E35" t="inlineStr">
        <is>
          <t>Weather</t>
        </is>
      </c>
      <c r="F35" t="inlineStr">
        <is>
          <t>High</t>
        </is>
      </c>
      <c r="G35" t="inlineStr">
        <is>
          <t>Open</t>
        </is>
      </c>
      <c r="H35" t="n">
        <v>29</v>
      </c>
      <c r="I35" t="n">
        <v>166090</v>
      </c>
      <c r="J35" t="inlineStr">
        <is>
          <t>Engineering</t>
        </is>
      </c>
      <c r="K35" t="inlineStr">
        <is>
          <t>Yes</t>
        </is>
      </c>
    </row>
    <row r="36">
      <c r="A36" t="inlineStr">
        <is>
          <t>ISS-0035</t>
        </is>
      </c>
      <c r="B36" t="inlineStr">
        <is>
          <t>MN8-009</t>
        </is>
      </c>
      <c r="C36" s="9" t="n">
        <v>46000</v>
      </c>
      <c r="D36" s="9" t="n">
        <v>46019</v>
      </c>
      <c r="E36" t="inlineStr">
        <is>
          <t>Site access</t>
        </is>
      </c>
      <c r="F36" t="inlineStr">
        <is>
          <t>Low</t>
        </is>
      </c>
      <c r="G36" t="inlineStr">
        <is>
          <t>Closed</t>
        </is>
      </c>
      <c r="H36" t="n">
        <v>3</v>
      </c>
      <c r="I36" t="n">
        <v>46865</v>
      </c>
      <c r="J36" t="inlineStr">
        <is>
          <t>Development</t>
        </is>
      </c>
      <c r="K36" t="inlineStr">
        <is>
          <t>No</t>
        </is>
      </c>
    </row>
    <row r="37">
      <c r="A37" t="inlineStr">
        <is>
          <t>ISS-0036</t>
        </is>
      </c>
      <c r="B37" t="inlineStr">
        <is>
          <t>MN8-010</t>
        </is>
      </c>
      <c r="C37" s="9" t="n">
        <v>45995</v>
      </c>
      <c r="D37" s="9" t="n">
        <v>46052</v>
      </c>
      <c r="E37" t="inlineStr">
        <is>
          <t>Weather</t>
        </is>
      </c>
      <c r="F37" t="inlineStr">
        <is>
          <t>High</t>
        </is>
      </c>
      <c r="G37" t="inlineStr">
        <is>
          <t>Closed</t>
        </is>
      </c>
      <c r="H37" t="n">
        <v>20</v>
      </c>
      <c r="I37" t="n">
        <v>139961</v>
      </c>
      <c r="J37" t="inlineStr">
        <is>
          <t>Development</t>
        </is>
      </c>
      <c r="K37" t="inlineStr">
        <is>
          <t>No</t>
        </is>
      </c>
    </row>
    <row r="38">
      <c r="A38" t="inlineStr">
        <is>
          <t>ISS-0037</t>
        </is>
      </c>
      <c r="B38" t="inlineStr">
        <is>
          <t>MN8-010</t>
        </is>
      </c>
      <c r="C38" s="9" t="n">
        <v>46017</v>
      </c>
      <c r="D38" s="9" t="n">
        <v>46027</v>
      </c>
      <c r="E38" t="inlineStr">
        <is>
          <t>Permit approval</t>
        </is>
      </c>
      <c r="F38" t="inlineStr">
        <is>
          <t>Low</t>
        </is>
      </c>
      <c r="G38" t="inlineStr">
        <is>
          <t>Closed</t>
        </is>
      </c>
      <c r="H38" t="n">
        <v>3</v>
      </c>
      <c r="I38" t="n">
        <v>18923</v>
      </c>
      <c r="J38" t="inlineStr">
        <is>
          <t>Project Controls</t>
        </is>
      </c>
      <c r="K38" t="inlineStr">
        <is>
          <t>No</t>
        </is>
      </c>
    </row>
    <row r="39">
      <c r="A39" t="inlineStr">
        <is>
          <t>ISS-0038</t>
        </is>
      </c>
      <c r="B39" t="inlineStr">
        <is>
          <t>MN8-010</t>
        </is>
      </c>
      <c r="C39" s="9" t="n">
        <v>45950</v>
      </c>
      <c r="D39" s="9" t="n">
        <v>45975</v>
      </c>
      <c r="E39" t="inlineStr">
        <is>
          <t>Equipment lead time</t>
        </is>
      </c>
      <c r="F39" t="inlineStr">
        <is>
          <t>Low</t>
        </is>
      </c>
      <c r="G39" t="inlineStr">
        <is>
          <t>Closed</t>
        </is>
      </c>
      <c r="H39" t="n">
        <v>0</v>
      </c>
      <c r="I39" t="n">
        <v>0</v>
      </c>
      <c r="J39" t="inlineStr">
        <is>
          <t>Engineering</t>
        </is>
      </c>
      <c r="K39" t="inlineStr">
        <is>
          <t>No</t>
        </is>
      </c>
    </row>
    <row r="40">
      <c r="A40" t="inlineStr">
        <is>
          <t>ISS-0039</t>
        </is>
      </c>
      <c r="B40" t="inlineStr">
        <is>
          <t>MN8-010</t>
        </is>
      </c>
      <c r="C40" s="9" t="n">
        <v>45984</v>
      </c>
      <c r="D40" s="9" t="n">
        <v>46053</v>
      </c>
      <c r="E40" t="inlineStr">
        <is>
          <t>Supply chain</t>
        </is>
      </c>
      <c r="F40" t="inlineStr">
        <is>
          <t>High</t>
        </is>
      </c>
      <c r="G40" t="inlineStr">
        <is>
          <t>Closed</t>
        </is>
      </c>
      <c r="H40" t="n">
        <v>20</v>
      </c>
      <c r="I40" t="n">
        <v>217635</v>
      </c>
      <c r="J40" t="inlineStr">
        <is>
          <t>Project Controls</t>
        </is>
      </c>
      <c r="K40" t="inlineStr">
        <is>
          <t>No</t>
        </is>
      </c>
    </row>
    <row r="41">
      <c r="A41" t="inlineStr">
        <is>
          <t>ISS-0040</t>
        </is>
      </c>
      <c r="B41" t="inlineStr">
        <is>
          <t>MN8-010</t>
        </is>
      </c>
      <c r="C41" s="9" t="n">
        <v>45920</v>
      </c>
      <c r="D41" s="9" t="n">
        <v>45952</v>
      </c>
      <c r="E41" t="inlineStr">
        <is>
          <t>Permit approval</t>
        </is>
      </c>
      <c r="F41" t="inlineStr">
        <is>
          <t>Medium</t>
        </is>
      </c>
      <c r="G41" t="inlineStr">
        <is>
          <t>Closed</t>
        </is>
      </c>
      <c r="H41" t="n">
        <v>14</v>
      </c>
      <c r="I41" t="n">
        <v>69930</v>
      </c>
      <c r="J41" t="inlineStr">
        <is>
          <t>Construction</t>
        </is>
      </c>
      <c r="K41" t="inlineStr">
        <is>
          <t>No</t>
        </is>
      </c>
    </row>
    <row r="42">
      <c r="A42" t="inlineStr">
        <is>
          <t>ISS-0041</t>
        </is>
      </c>
      <c r="B42" t="inlineStr">
        <is>
          <t>MN8-011</t>
        </is>
      </c>
      <c r="C42" s="9" t="n">
        <v>45937</v>
      </c>
      <c r="D42" s="9" t="n">
        <v>45955</v>
      </c>
      <c r="E42" t="inlineStr">
        <is>
          <t>Contractor productivity</t>
        </is>
      </c>
      <c r="F42" t="inlineStr">
        <is>
          <t>Low</t>
        </is>
      </c>
      <c r="G42" t="inlineStr">
        <is>
          <t>Closed</t>
        </is>
      </c>
      <c r="H42" t="n">
        <v>0</v>
      </c>
      <c r="I42" t="n">
        <v>54890</v>
      </c>
      <c r="J42" t="inlineStr">
        <is>
          <t>Development</t>
        </is>
      </c>
      <c r="K42" t="inlineStr">
        <is>
          <t>No</t>
        </is>
      </c>
    </row>
    <row r="43">
      <c r="A43" t="inlineStr">
        <is>
          <t>ISS-0042</t>
        </is>
      </c>
      <c r="B43" t="inlineStr">
        <is>
          <t>MN8-011</t>
        </is>
      </c>
      <c r="C43" s="9" t="n">
        <v>45976</v>
      </c>
      <c r="D43" s="9" t="n">
        <v>45978</v>
      </c>
      <c r="E43" t="inlineStr">
        <is>
          <t>Contractor productivity</t>
        </is>
      </c>
      <c r="F43" t="inlineStr">
        <is>
          <t>Low</t>
        </is>
      </c>
      <c r="G43" t="inlineStr">
        <is>
          <t>Closed</t>
        </is>
      </c>
      <c r="H43" t="n">
        <v>15</v>
      </c>
      <c r="I43" t="n">
        <v>63761</v>
      </c>
      <c r="J43" t="inlineStr">
        <is>
          <t>Development</t>
        </is>
      </c>
      <c r="K43" t="inlineStr">
        <is>
          <t>No</t>
        </is>
      </c>
    </row>
    <row r="44">
      <c r="A44" t="inlineStr">
        <is>
          <t>ISS-0043</t>
        </is>
      </c>
      <c r="B44" t="inlineStr">
        <is>
          <t>MN8-011</t>
        </is>
      </c>
      <c r="C44" s="9" t="n">
        <v>45922</v>
      </c>
      <c r="D44" s="9" t="n">
        <v>45987</v>
      </c>
      <c r="E44" t="inlineStr">
        <is>
          <t>Weather</t>
        </is>
      </c>
      <c r="F44" t="inlineStr">
        <is>
          <t>High</t>
        </is>
      </c>
      <c r="G44" t="inlineStr">
        <is>
          <t>Closed</t>
        </is>
      </c>
      <c r="H44" t="n">
        <v>29</v>
      </c>
      <c r="I44" t="n">
        <v>163738</v>
      </c>
      <c r="J44" t="inlineStr">
        <is>
          <t>Development</t>
        </is>
      </c>
      <c r="K44" t="inlineStr">
        <is>
          <t>Yes</t>
        </is>
      </c>
    </row>
    <row r="45">
      <c r="A45" t="inlineStr">
        <is>
          <t>ISS-0044</t>
        </is>
      </c>
      <c r="B45" t="inlineStr">
        <is>
          <t>MN8-011</t>
        </is>
      </c>
      <c r="C45" s="9" t="n">
        <v>45896</v>
      </c>
      <c r="D45" s="9" t="n">
        <v>45923</v>
      </c>
      <c r="E45" t="inlineStr">
        <is>
          <t>Design revision</t>
        </is>
      </c>
      <c r="F45" t="inlineStr">
        <is>
          <t>Medium</t>
        </is>
      </c>
      <c r="G45" t="inlineStr">
        <is>
          <t>Open</t>
        </is>
      </c>
      <c r="H45" t="n">
        <v>9</v>
      </c>
      <c r="I45" t="n">
        <v>114148</v>
      </c>
      <c r="J45" t="inlineStr">
        <is>
          <t>Project Controls</t>
        </is>
      </c>
      <c r="K45" t="inlineStr">
        <is>
          <t>No</t>
        </is>
      </c>
    </row>
    <row r="46">
      <c r="A46" t="inlineStr">
        <is>
          <t>ISS-0045</t>
        </is>
      </c>
      <c r="B46" t="inlineStr">
        <is>
          <t>MN8-011</t>
        </is>
      </c>
      <c r="C46" s="9" t="n">
        <v>45905</v>
      </c>
      <c r="D46" s="9" t="n">
        <v>45930</v>
      </c>
      <c r="E46" t="inlineStr">
        <is>
          <t>Design revision</t>
        </is>
      </c>
      <c r="F46" t="inlineStr">
        <is>
          <t>Low</t>
        </is>
      </c>
      <c r="G46" t="inlineStr">
        <is>
          <t>Closed</t>
        </is>
      </c>
      <c r="H46" t="n">
        <v>5</v>
      </c>
      <c r="I46" t="n">
        <v>0</v>
      </c>
      <c r="J46" t="inlineStr">
        <is>
          <t>Project Controls</t>
        </is>
      </c>
      <c r="K46" t="inlineStr">
        <is>
          <t>No</t>
        </is>
      </c>
    </row>
    <row r="47">
      <c r="A47" t="inlineStr">
        <is>
          <t>ISS-0046</t>
        </is>
      </c>
      <c r="B47" t="inlineStr">
        <is>
          <t>MN8-011</t>
        </is>
      </c>
      <c r="C47" s="9" t="n">
        <v>45884</v>
      </c>
      <c r="D47" s="9" t="n">
        <v>45942</v>
      </c>
      <c r="E47" t="inlineStr">
        <is>
          <t>Quality rework</t>
        </is>
      </c>
      <c r="F47" t="inlineStr">
        <is>
          <t>Medium</t>
        </is>
      </c>
      <c r="G47" t="inlineStr">
        <is>
          <t>Closed</t>
        </is>
      </c>
      <c r="H47" t="n">
        <v>19</v>
      </c>
      <c r="I47" t="n">
        <v>0</v>
      </c>
      <c r="J47" t="inlineStr">
        <is>
          <t>Development</t>
        </is>
      </c>
      <c r="K47" t="inlineStr">
        <is>
          <t>No</t>
        </is>
      </c>
    </row>
    <row r="48">
      <c r="A48" t="inlineStr">
        <is>
          <t>ISS-0047</t>
        </is>
      </c>
      <c r="B48" t="inlineStr">
        <is>
          <t>MN8-012</t>
        </is>
      </c>
      <c r="C48" s="9" t="n">
        <v>45974</v>
      </c>
      <c r="D48" s="9" t="n">
        <v>46019</v>
      </c>
      <c r="E48" t="inlineStr">
        <is>
          <t>Permit approval</t>
        </is>
      </c>
      <c r="F48" t="inlineStr">
        <is>
          <t>Medium</t>
        </is>
      </c>
      <c r="G48" t="inlineStr">
        <is>
          <t>Closed</t>
        </is>
      </c>
      <c r="H48" t="n">
        <v>16</v>
      </c>
      <c r="I48" t="n">
        <v>70466</v>
      </c>
      <c r="J48" t="inlineStr">
        <is>
          <t>Engineering</t>
        </is>
      </c>
      <c r="K48" t="inlineStr">
        <is>
          <t>No</t>
        </is>
      </c>
    </row>
    <row r="49">
      <c r="A49" t="inlineStr">
        <is>
          <t>ISS-0048</t>
        </is>
      </c>
      <c r="B49" t="inlineStr">
        <is>
          <t>MN8-012</t>
        </is>
      </c>
      <c r="C49" s="9" t="n">
        <v>45894</v>
      </c>
      <c r="D49" s="9" t="n">
        <v>45928</v>
      </c>
      <c r="E49" t="inlineStr">
        <is>
          <t>Site access</t>
        </is>
      </c>
      <c r="F49" t="inlineStr">
        <is>
          <t>High</t>
        </is>
      </c>
      <c r="G49" t="inlineStr">
        <is>
          <t>Closed</t>
        </is>
      </c>
      <c r="H49" t="n">
        <v>20</v>
      </c>
      <c r="I49" t="n">
        <v>166265</v>
      </c>
      <c r="J49" t="inlineStr">
        <is>
          <t>Project Controls</t>
        </is>
      </c>
      <c r="K49" t="inlineStr">
        <is>
          <t>No</t>
        </is>
      </c>
    </row>
    <row r="50">
      <c r="A50" t="inlineStr">
        <is>
          <t>ISS-0049</t>
        </is>
      </c>
      <c r="B50" t="inlineStr">
        <is>
          <t>MN8-013</t>
        </is>
      </c>
      <c r="C50" s="9" t="n">
        <v>45963</v>
      </c>
      <c r="D50" s="9" t="n">
        <v>45994</v>
      </c>
      <c r="E50" t="inlineStr">
        <is>
          <t>Supply chain</t>
        </is>
      </c>
      <c r="F50" t="inlineStr">
        <is>
          <t>Medium</t>
        </is>
      </c>
      <c r="G50" t="inlineStr">
        <is>
          <t>Closed</t>
        </is>
      </c>
      <c r="H50" t="n">
        <v>5</v>
      </c>
      <c r="I50" t="n">
        <v>0</v>
      </c>
      <c r="J50" t="inlineStr">
        <is>
          <t>Engineering</t>
        </is>
      </c>
      <c r="K50" t="inlineStr">
        <is>
          <t>No</t>
        </is>
      </c>
    </row>
    <row r="51">
      <c r="A51" t="inlineStr">
        <is>
          <t>ISS-0050</t>
        </is>
      </c>
      <c r="B51" t="inlineStr">
        <is>
          <t>MN8-013</t>
        </is>
      </c>
      <c r="C51" s="9" t="n">
        <v>46009</v>
      </c>
      <c r="D51" s="9" t="n">
        <v>46057</v>
      </c>
      <c r="E51" t="inlineStr">
        <is>
          <t>Weather</t>
        </is>
      </c>
      <c r="F51" t="inlineStr">
        <is>
          <t>High</t>
        </is>
      </c>
      <c r="G51" t="inlineStr">
        <is>
          <t>Closed</t>
        </is>
      </c>
      <c r="H51" t="n">
        <v>29</v>
      </c>
      <c r="I51" t="n">
        <v>136371</v>
      </c>
      <c r="J51" t="inlineStr">
        <is>
          <t>Construction</t>
        </is>
      </c>
      <c r="K51" t="inlineStr">
        <is>
          <t>Yes</t>
        </is>
      </c>
    </row>
    <row r="52">
      <c r="A52" t="inlineStr">
        <is>
          <t>ISS-0051</t>
        </is>
      </c>
      <c r="B52" t="inlineStr">
        <is>
          <t>MN8-013</t>
        </is>
      </c>
      <c r="C52" s="9" t="n">
        <v>46005</v>
      </c>
      <c r="D52" s="9" t="n">
        <v>46044</v>
      </c>
      <c r="E52" t="inlineStr">
        <is>
          <t>Design revision</t>
        </is>
      </c>
      <c r="F52" t="inlineStr">
        <is>
          <t>Medium</t>
        </is>
      </c>
      <c r="G52" t="inlineStr">
        <is>
          <t>Open</t>
        </is>
      </c>
      <c r="H52" t="n">
        <v>9</v>
      </c>
      <c r="I52" t="n">
        <v>0</v>
      </c>
      <c r="J52" t="inlineStr">
        <is>
          <t>Development</t>
        </is>
      </c>
      <c r="K52" t="inlineStr">
        <is>
          <t>No</t>
        </is>
      </c>
    </row>
    <row r="53">
      <c r="A53" t="inlineStr">
        <is>
          <t>ISS-0052</t>
        </is>
      </c>
      <c r="B53" t="inlineStr">
        <is>
          <t>MN8-013</t>
        </is>
      </c>
      <c r="C53" s="9" t="n">
        <v>45976</v>
      </c>
      <c r="D53" s="9" t="n">
        <v>46006</v>
      </c>
      <c r="E53" t="inlineStr">
        <is>
          <t>Weather</t>
        </is>
      </c>
      <c r="F53" t="inlineStr">
        <is>
          <t>Low</t>
        </is>
      </c>
      <c r="G53" t="inlineStr">
        <is>
          <t>Closed</t>
        </is>
      </c>
      <c r="H53" t="n">
        <v>13</v>
      </c>
      <c r="I53" t="n">
        <v>0</v>
      </c>
      <c r="J53" t="inlineStr">
        <is>
          <t>Project Controls</t>
        </is>
      </c>
      <c r="K53" t="inlineStr">
        <is>
          <t>No</t>
        </is>
      </c>
    </row>
    <row r="54">
      <c r="A54" t="inlineStr">
        <is>
          <t>ISS-0053</t>
        </is>
      </c>
      <c r="B54" t="inlineStr">
        <is>
          <t>MN8-013</t>
        </is>
      </c>
      <c r="C54" s="9" t="n">
        <v>46007</v>
      </c>
      <c r="D54" s="9" t="n">
        <v>46019</v>
      </c>
      <c r="E54" t="inlineStr">
        <is>
          <t>Site access</t>
        </is>
      </c>
      <c r="F54" t="inlineStr">
        <is>
          <t>Low</t>
        </is>
      </c>
      <c r="G54" t="inlineStr">
        <is>
          <t>Closed</t>
        </is>
      </c>
      <c r="H54" t="n">
        <v>0</v>
      </c>
      <c r="I54" t="n">
        <v>88777</v>
      </c>
      <c r="J54" t="inlineStr">
        <is>
          <t>Procurement</t>
        </is>
      </c>
      <c r="K54" t="inlineStr">
        <is>
          <t>No</t>
        </is>
      </c>
    </row>
    <row r="55">
      <c r="A55" t="inlineStr">
        <is>
          <t>ISS-0054</t>
        </is>
      </c>
      <c r="B55" t="inlineStr">
        <is>
          <t>MN8-013</t>
        </is>
      </c>
      <c r="C55" s="9" t="n">
        <v>45909</v>
      </c>
      <c r="D55" s="9" t="n">
        <v>45940</v>
      </c>
      <c r="E55" t="inlineStr">
        <is>
          <t>Weather</t>
        </is>
      </c>
      <c r="F55" t="inlineStr">
        <is>
          <t>Medium</t>
        </is>
      </c>
      <c r="G55" t="inlineStr">
        <is>
          <t>Closed</t>
        </is>
      </c>
      <c r="H55" t="n">
        <v>2</v>
      </c>
      <c r="I55" t="n">
        <v>109695</v>
      </c>
      <c r="J55" t="inlineStr">
        <is>
          <t>Development</t>
        </is>
      </c>
      <c r="K55" t="inlineStr">
        <is>
          <t>No</t>
        </is>
      </c>
    </row>
    <row r="56">
      <c r="A56" t="inlineStr">
        <is>
          <t>ISS-0055</t>
        </is>
      </c>
      <c r="B56" t="inlineStr">
        <is>
          <t>MN8-014</t>
        </is>
      </c>
      <c r="C56" s="9" t="n">
        <v>45984</v>
      </c>
      <c r="D56" s="9" t="n">
        <v>45996</v>
      </c>
      <c r="E56" t="inlineStr">
        <is>
          <t>Interconnection delay</t>
        </is>
      </c>
      <c r="F56" t="inlineStr">
        <is>
          <t>Low</t>
        </is>
      </c>
      <c r="G56" t="inlineStr">
        <is>
          <t>Closed</t>
        </is>
      </c>
      <c r="H56" t="n">
        <v>2</v>
      </c>
      <c r="I56" t="n">
        <v>0</v>
      </c>
      <c r="J56" t="inlineStr">
        <is>
          <t>Project Controls</t>
        </is>
      </c>
      <c r="K56" t="inlineStr">
        <is>
          <t>No</t>
        </is>
      </c>
    </row>
    <row r="57">
      <c r="A57" t="inlineStr">
        <is>
          <t>ISS-0056</t>
        </is>
      </c>
      <c r="B57" t="inlineStr">
        <is>
          <t>MN8-014</t>
        </is>
      </c>
      <c r="C57" s="9" t="n">
        <v>46006</v>
      </c>
      <c r="D57" s="9" t="n">
        <v>46030</v>
      </c>
      <c r="E57" t="inlineStr">
        <is>
          <t>Interconnection delay</t>
        </is>
      </c>
      <c r="F57" t="inlineStr">
        <is>
          <t>Medium</t>
        </is>
      </c>
      <c r="G57" t="inlineStr">
        <is>
          <t>Closed</t>
        </is>
      </c>
      <c r="H57" t="n">
        <v>15</v>
      </c>
      <c r="I57" t="n">
        <v>41743</v>
      </c>
      <c r="J57" t="inlineStr">
        <is>
          <t>Project Controls</t>
        </is>
      </c>
      <c r="K57" t="inlineStr">
        <is>
          <t>No</t>
        </is>
      </c>
    </row>
    <row r="58">
      <c r="A58" t="inlineStr">
        <is>
          <t>ISS-0057</t>
        </is>
      </c>
      <c r="B58" t="inlineStr">
        <is>
          <t>MN8-014</t>
        </is>
      </c>
      <c r="C58" s="9" t="n">
        <v>46014</v>
      </c>
      <c r="D58" s="9" t="n">
        <v>46046</v>
      </c>
      <c r="E58" t="inlineStr">
        <is>
          <t>Supply chain</t>
        </is>
      </c>
      <c r="F58" t="inlineStr">
        <is>
          <t>Medium</t>
        </is>
      </c>
      <c r="G58" t="inlineStr">
        <is>
          <t>Closed</t>
        </is>
      </c>
      <c r="H58" t="n">
        <v>7</v>
      </c>
      <c r="I58" t="n">
        <v>957</v>
      </c>
      <c r="J58" t="inlineStr">
        <is>
          <t>Development</t>
        </is>
      </c>
      <c r="K58" t="inlineStr">
        <is>
          <t>No</t>
        </is>
      </c>
    </row>
    <row r="59">
      <c r="A59" t="inlineStr">
        <is>
          <t>ISS-0058</t>
        </is>
      </c>
      <c r="B59" t="inlineStr">
        <is>
          <t>MN8-014</t>
        </is>
      </c>
      <c r="C59" s="9" t="n">
        <v>45940</v>
      </c>
      <c r="D59" s="9" t="n">
        <v>45967</v>
      </c>
      <c r="E59" t="inlineStr">
        <is>
          <t>Equipment lead time</t>
        </is>
      </c>
      <c r="F59" t="inlineStr">
        <is>
          <t>Low</t>
        </is>
      </c>
      <c r="G59" t="inlineStr">
        <is>
          <t>Closed</t>
        </is>
      </c>
      <c r="H59" t="n">
        <v>8</v>
      </c>
      <c r="I59" t="n">
        <v>117991</v>
      </c>
      <c r="J59" t="inlineStr">
        <is>
          <t>Construction</t>
        </is>
      </c>
      <c r="K59" t="inlineStr">
        <is>
          <t>No</t>
        </is>
      </c>
    </row>
    <row r="60">
      <c r="A60" t="inlineStr">
        <is>
          <t>ISS-0059</t>
        </is>
      </c>
      <c r="B60" t="inlineStr">
        <is>
          <t>MN8-015</t>
        </is>
      </c>
      <c r="C60" s="9" t="n">
        <v>45999</v>
      </c>
      <c r="D60" s="9" t="n">
        <v>46017</v>
      </c>
      <c r="E60" t="inlineStr">
        <is>
          <t>Contractor productivity</t>
        </is>
      </c>
      <c r="F60" t="inlineStr">
        <is>
          <t>Medium</t>
        </is>
      </c>
      <c r="G60" t="inlineStr">
        <is>
          <t>Closed</t>
        </is>
      </c>
      <c r="H60" t="n">
        <v>11</v>
      </c>
      <c r="I60" t="n">
        <v>17345</v>
      </c>
      <c r="J60" t="inlineStr">
        <is>
          <t>Procurement</t>
        </is>
      </c>
      <c r="K60" t="inlineStr">
        <is>
          <t>No</t>
        </is>
      </c>
    </row>
    <row r="61">
      <c r="A61" t="inlineStr">
        <is>
          <t>ISS-0060</t>
        </is>
      </c>
      <c r="B61" t="inlineStr">
        <is>
          <t>MN8-015</t>
        </is>
      </c>
      <c r="C61" s="9" t="n">
        <v>45952</v>
      </c>
      <c r="D61" s="9" t="n">
        <v>45954</v>
      </c>
      <c r="E61" t="inlineStr">
        <is>
          <t>Weather</t>
        </is>
      </c>
      <c r="F61" t="inlineStr">
        <is>
          <t>Low</t>
        </is>
      </c>
      <c r="G61" t="inlineStr">
        <is>
          <t>Closed</t>
        </is>
      </c>
      <c r="H61" t="n">
        <v>8</v>
      </c>
      <c r="I61" t="n">
        <v>49162</v>
      </c>
      <c r="J61" t="inlineStr">
        <is>
          <t>Construction</t>
        </is>
      </c>
      <c r="K61" t="inlineStr">
        <is>
          <t>No</t>
        </is>
      </c>
    </row>
    <row r="62">
      <c r="A62" t="inlineStr">
        <is>
          <t>ISS-0061</t>
        </is>
      </c>
      <c r="B62" t="inlineStr">
        <is>
          <t>MN8-015</t>
        </is>
      </c>
      <c r="C62" s="9" t="n">
        <v>45920</v>
      </c>
      <c r="D62" s="9" t="n">
        <v>45962</v>
      </c>
      <c r="E62" t="inlineStr">
        <is>
          <t>Supply chain</t>
        </is>
      </c>
      <c r="F62" t="inlineStr">
        <is>
          <t>High</t>
        </is>
      </c>
      <c r="G62" t="inlineStr">
        <is>
          <t>Closed</t>
        </is>
      </c>
      <c r="H62" t="n">
        <v>9</v>
      </c>
      <c r="I62" t="n">
        <v>155419</v>
      </c>
      <c r="J62" t="inlineStr">
        <is>
          <t>Construction</t>
        </is>
      </c>
      <c r="K62" t="inlineStr">
        <is>
          <t>No</t>
        </is>
      </c>
    </row>
    <row r="63">
      <c r="A63" t="inlineStr">
        <is>
          <t>ISS-0062</t>
        </is>
      </c>
      <c r="B63" t="inlineStr">
        <is>
          <t>MN8-016</t>
        </is>
      </c>
      <c r="C63" s="9" t="n">
        <v>45890</v>
      </c>
      <c r="D63" s="9" t="n">
        <v>45925</v>
      </c>
      <c r="E63" t="inlineStr">
        <is>
          <t>Contractor productivity</t>
        </is>
      </c>
      <c r="F63" t="inlineStr">
        <is>
          <t>Medium</t>
        </is>
      </c>
      <c r="G63" t="inlineStr">
        <is>
          <t>Closed</t>
        </is>
      </c>
      <c r="H63" t="n">
        <v>2</v>
      </c>
      <c r="I63" t="n">
        <v>116483</v>
      </c>
      <c r="J63" t="inlineStr">
        <is>
          <t>Construction</t>
        </is>
      </c>
      <c r="K63" t="inlineStr">
        <is>
          <t>No</t>
        </is>
      </c>
    </row>
    <row r="64">
      <c r="A64" t="inlineStr">
        <is>
          <t>ISS-0063</t>
        </is>
      </c>
      <c r="B64" t="inlineStr">
        <is>
          <t>MN8-016</t>
        </is>
      </c>
      <c r="C64" s="9" t="n">
        <v>45937</v>
      </c>
      <c r="D64" s="9" t="n">
        <v>45959</v>
      </c>
      <c r="E64" t="inlineStr">
        <is>
          <t>Permit approval</t>
        </is>
      </c>
      <c r="F64" t="inlineStr">
        <is>
          <t>Low</t>
        </is>
      </c>
      <c r="G64" t="inlineStr">
        <is>
          <t>Closed</t>
        </is>
      </c>
      <c r="H64" t="n">
        <v>12</v>
      </c>
      <c r="I64" t="n">
        <v>9494</v>
      </c>
      <c r="J64" t="inlineStr">
        <is>
          <t>Procurement</t>
        </is>
      </c>
      <c r="K64" t="inlineStr">
        <is>
          <t>No</t>
        </is>
      </c>
    </row>
    <row r="65">
      <c r="A65" t="inlineStr">
        <is>
          <t>ISS-0064</t>
        </is>
      </c>
      <c r="B65" t="inlineStr">
        <is>
          <t>MN8-016</t>
        </is>
      </c>
      <c r="C65" s="9" t="n">
        <v>45970</v>
      </c>
      <c r="D65" s="9" t="n">
        <v>45997</v>
      </c>
      <c r="E65" t="inlineStr">
        <is>
          <t>Supply chain</t>
        </is>
      </c>
      <c r="F65" t="inlineStr">
        <is>
          <t>Medium</t>
        </is>
      </c>
      <c r="G65" t="inlineStr">
        <is>
          <t>Open</t>
        </is>
      </c>
      <c r="H65" t="n">
        <v>18</v>
      </c>
      <c r="I65" t="n">
        <v>11138</v>
      </c>
      <c r="J65" t="inlineStr">
        <is>
          <t>Construction</t>
        </is>
      </c>
      <c r="K65" t="inlineStr">
        <is>
          <t>No</t>
        </is>
      </c>
    </row>
    <row r="66">
      <c r="A66" t="inlineStr">
        <is>
          <t>ISS-0065</t>
        </is>
      </c>
      <c r="B66" t="inlineStr">
        <is>
          <t>MN8-016</t>
        </is>
      </c>
      <c r="C66" s="9" t="n">
        <v>45938</v>
      </c>
      <c r="D66" s="9" t="n">
        <v>45952</v>
      </c>
      <c r="E66" t="inlineStr">
        <is>
          <t>Interconnection delay</t>
        </is>
      </c>
      <c r="F66" t="inlineStr">
        <is>
          <t>Medium</t>
        </is>
      </c>
      <c r="G66" t="inlineStr">
        <is>
          <t>Closed</t>
        </is>
      </c>
      <c r="H66" t="n">
        <v>12</v>
      </c>
      <c r="I66" t="n">
        <v>52468</v>
      </c>
      <c r="J66" t="inlineStr">
        <is>
          <t>Engineering</t>
        </is>
      </c>
      <c r="K66" t="inlineStr">
        <is>
          <t>No</t>
        </is>
      </c>
    </row>
    <row r="67">
      <c r="A67" t="inlineStr">
        <is>
          <t>ISS-0066</t>
        </is>
      </c>
      <c r="B67" t="inlineStr">
        <is>
          <t>MN8-017</t>
        </is>
      </c>
      <c r="C67" s="9" t="n">
        <v>45908</v>
      </c>
      <c r="D67" s="9" t="n">
        <v>45945</v>
      </c>
      <c r="E67" t="inlineStr">
        <is>
          <t>Supply chain</t>
        </is>
      </c>
      <c r="F67" t="inlineStr">
        <is>
          <t>Medium</t>
        </is>
      </c>
      <c r="G67" t="inlineStr">
        <is>
          <t>Closed</t>
        </is>
      </c>
      <c r="H67" t="n">
        <v>0</v>
      </c>
      <c r="I67" t="n">
        <v>49977</v>
      </c>
      <c r="J67" t="inlineStr">
        <is>
          <t>Engineering</t>
        </is>
      </c>
      <c r="K67" t="inlineStr">
        <is>
          <t>No</t>
        </is>
      </c>
    </row>
    <row r="68">
      <c r="A68" t="inlineStr">
        <is>
          <t>ISS-0067</t>
        </is>
      </c>
      <c r="B68" t="inlineStr">
        <is>
          <t>MN8-017</t>
        </is>
      </c>
      <c r="C68" s="9" t="n">
        <v>45936</v>
      </c>
      <c r="D68" s="9" t="n">
        <v>45945</v>
      </c>
      <c r="E68" t="inlineStr">
        <is>
          <t>Contractor productivity</t>
        </is>
      </c>
      <c r="F68" t="inlineStr">
        <is>
          <t>Low</t>
        </is>
      </c>
      <c r="G68" t="inlineStr">
        <is>
          <t>Closed</t>
        </is>
      </c>
      <c r="H68" t="n">
        <v>0</v>
      </c>
      <c r="I68" t="n">
        <v>27820</v>
      </c>
      <c r="J68" t="inlineStr">
        <is>
          <t>Engineering</t>
        </is>
      </c>
      <c r="K68" t="inlineStr">
        <is>
          <t>No</t>
        </is>
      </c>
    </row>
    <row r="69">
      <c r="A69" t="inlineStr">
        <is>
          <t>ISS-0068</t>
        </is>
      </c>
      <c r="B69" t="inlineStr">
        <is>
          <t>MN8-017</t>
        </is>
      </c>
      <c r="C69" s="9" t="n">
        <v>45949</v>
      </c>
      <c r="D69" s="9" t="n">
        <v>45999</v>
      </c>
      <c r="E69" t="inlineStr">
        <is>
          <t>Supply chain</t>
        </is>
      </c>
      <c r="F69" t="inlineStr">
        <is>
          <t>High</t>
        </is>
      </c>
      <c r="G69" t="inlineStr">
        <is>
          <t>Closed</t>
        </is>
      </c>
      <c r="H69" t="n">
        <v>35</v>
      </c>
      <c r="I69" t="n">
        <v>129563</v>
      </c>
      <c r="J69" t="inlineStr">
        <is>
          <t>Construction</t>
        </is>
      </c>
      <c r="K69" t="inlineStr">
        <is>
          <t>Yes</t>
        </is>
      </c>
    </row>
    <row r="70">
      <c r="A70" t="inlineStr">
        <is>
          <t>ISS-0069</t>
        </is>
      </c>
      <c r="B70" t="inlineStr">
        <is>
          <t>MN8-018</t>
        </is>
      </c>
      <c r="C70" s="9" t="n">
        <v>45888</v>
      </c>
      <c r="D70" s="9" t="n">
        <v>45918</v>
      </c>
      <c r="E70" t="inlineStr">
        <is>
          <t>Weather</t>
        </is>
      </c>
      <c r="F70" t="inlineStr">
        <is>
          <t>Medium</t>
        </is>
      </c>
      <c r="G70" t="inlineStr">
        <is>
          <t>Closed</t>
        </is>
      </c>
      <c r="H70" t="n">
        <v>10</v>
      </c>
      <c r="I70" t="n">
        <v>66056</v>
      </c>
      <c r="J70" t="inlineStr">
        <is>
          <t>Project Controls</t>
        </is>
      </c>
      <c r="K70" t="inlineStr">
        <is>
          <t>No</t>
        </is>
      </c>
    </row>
    <row r="71">
      <c r="A71" t="inlineStr">
        <is>
          <t>ISS-0070</t>
        </is>
      </c>
      <c r="B71" t="inlineStr">
        <is>
          <t>MN8-018</t>
        </is>
      </c>
      <c r="C71" s="9" t="n">
        <v>46017</v>
      </c>
      <c r="D71" s="9" t="n">
        <v>46050</v>
      </c>
      <c r="E71" t="inlineStr">
        <is>
          <t>Interconnection delay</t>
        </is>
      </c>
      <c r="F71" t="inlineStr">
        <is>
          <t>Medium</t>
        </is>
      </c>
      <c r="G71" t="inlineStr">
        <is>
          <t>Closed</t>
        </is>
      </c>
      <c r="H71" t="n">
        <v>17</v>
      </c>
      <c r="I71" t="n">
        <v>92890</v>
      </c>
      <c r="J71" t="inlineStr">
        <is>
          <t>Development</t>
        </is>
      </c>
      <c r="K71" t="inlineStr">
        <is>
          <t>No</t>
        </is>
      </c>
    </row>
    <row r="72">
      <c r="A72" t="inlineStr">
        <is>
          <t>ISS-0071</t>
        </is>
      </c>
      <c r="B72" t="inlineStr">
        <is>
          <t>MN8-018</t>
        </is>
      </c>
      <c r="C72" s="9" t="n">
        <v>45983</v>
      </c>
      <c r="D72" s="9" t="n">
        <v>45985</v>
      </c>
      <c r="E72" t="inlineStr">
        <is>
          <t>Supply chain</t>
        </is>
      </c>
      <c r="F72" t="inlineStr">
        <is>
          <t>Low</t>
        </is>
      </c>
      <c r="G72" t="inlineStr">
        <is>
          <t>Closed</t>
        </is>
      </c>
      <c r="H72" t="n">
        <v>4</v>
      </c>
      <c r="I72" t="n">
        <v>0</v>
      </c>
      <c r="J72" t="inlineStr">
        <is>
          <t>Development</t>
        </is>
      </c>
      <c r="K72" t="inlineStr">
        <is>
          <t>No</t>
        </is>
      </c>
    </row>
    <row r="73">
      <c r="A73" t="inlineStr">
        <is>
          <t>ISS-0072</t>
        </is>
      </c>
      <c r="B73" t="inlineStr">
        <is>
          <t>MN8-018</t>
        </is>
      </c>
      <c r="C73" s="9" t="n">
        <v>45988</v>
      </c>
      <c r="D73" s="9" t="n">
        <v>46003</v>
      </c>
      <c r="E73" t="inlineStr">
        <is>
          <t>Design revision</t>
        </is>
      </c>
      <c r="F73" t="inlineStr">
        <is>
          <t>Low</t>
        </is>
      </c>
      <c r="G73" t="inlineStr">
        <is>
          <t>Closed</t>
        </is>
      </c>
      <c r="H73" t="n">
        <v>4</v>
      </c>
      <c r="I73" t="n">
        <v>58927</v>
      </c>
      <c r="J73" t="inlineStr">
        <is>
          <t>Construction</t>
        </is>
      </c>
      <c r="K73" t="inlineStr">
        <is>
          <t>No</t>
        </is>
      </c>
    </row>
    <row r="74">
      <c r="A74" t="inlineStr">
        <is>
          <t>ISS-0073</t>
        </is>
      </c>
      <c r="B74" t="inlineStr">
        <is>
          <t>MN8-018</t>
        </is>
      </c>
      <c r="C74" s="9" t="n">
        <v>45984</v>
      </c>
      <c r="D74" s="9" t="n">
        <v>46015</v>
      </c>
      <c r="E74" t="inlineStr">
        <is>
          <t>Quality rework</t>
        </is>
      </c>
      <c r="F74" t="inlineStr">
        <is>
          <t>Medium</t>
        </is>
      </c>
      <c r="G74" t="inlineStr">
        <is>
          <t>Closed</t>
        </is>
      </c>
      <c r="H74" t="n">
        <v>14</v>
      </c>
      <c r="I74" t="n">
        <v>105688</v>
      </c>
      <c r="J74" t="inlineStr">
        <is>
          <t>Project Controls</t>
        </is>
      </c>
      <c r="K74" t="inlineStr">
        <is>
          <t>No</t>
        </is>
      </c>
    </row>
    <row r="75">
      <c r="A75" t="inlineStr">
        <is>
          <t>ISS-0074</t>
        </is>
      </c>
      <c r="B75" t="inlineStr">
        <is>
          <t>MN8-019</t>
        </is>
      </c>
      <c r="C75" s="9" t="n">
        <v>45950</v>
      </c>
      <c r="D75" s="9" t="n">
        <v>46010</v>
      </c>
      <c r="E75" t="inlineStr">
        <is>
          <t>Supply chain</t>
        </is>
      </c>
      <c r="F75" t="inlineStr">
        <is>
          <t>High</t>
        </is>
      </c>
      <c r="G75" t="inlineStr">
        <is>
          <t>Open</t>
        </is>
      </c>
      <c r="H75" t="n">
        <v>18</v>
      </c>
      <c r="I75" t="n">
        <v>136277</v>
      </c>
      <c r="J75" t="inlineStr">
        <is>
          <t>Development</t>
        </is>
      </c>
      <c r="K75" t="inlineStr">
        <is>
          <t>No</t>
        </is>
      </c>
    </row>
    <row r="76">
      <c r="A76" t="inlineStr">
        <is>
          <t>ISS-0075</t>
        </is>
      </c>
      <c r="B76" t="inlineStr">
        <is>
          <t>MN8-019</t>
        </is>
      </c>
      <c r="C76" s="9" t="n">
        <v>46000</v>
      </c>
      <c r="D76" s="9" t="n">
        <v>46044</v>
      </c>
      <c r="E76" t="inlineStr">
        <is>
          <t>Supply chain</t>
        </is>
      </c>
      <c r="F76" t="inlineStr">
        <is>
          <t>Medium</t>
        </is>
      </c>
      <c r="G76" t="inlineStr">
        <is>
          <t>Closed</t>
        </is>
      </c>
      <c r="H76" t="n">
        <v>8</v>
      </c>
      <c r="I76" t="n">
        <v>22889</v>
      </c>
      <c r="J76" t="inlineStr">
        <is>
          <t>Project Controls</t>
        </is>
      </c>
      <c r="K76" t="inlineStr">
        <is>
          <t>No</t>
        </is>
      </c>
    </row>
    <row r="77">
      <c r="A77" t="inlineStr">
        <is>
          <t>ISS-0076</t>
        </is>
      </c>
      <c r="B77" t="inlineStr">
        <is>
          <t>MN8-019</t>
        </is>
      </c>
      <c r="C77" s="9" t="n">
        <v>45969</v>
      </c>
      <c r="D77" s="9" t="n">
        <v>45992</v>
      </c>
      <c r="E77" t="inlineStr">
        <is>
          <t>Supply chain</t>
        </is>
      </c>
      <c r="F77" t="inlineStr">
        <is>
          <t>Low</t>
        </is>
      </c>
      <c r="G77" t="inlineStr">
        <is>
          <t>Closed</t>
        </is>
      </c>
      <c r="H77" t="n">
        <v>13</v>
      </c>
      <c r="I77" t="n">
        <v>47353</v>
      </c>
      <c r="J77" t="inlineStr">
        <is>
          <t>Development</t>
        </is>
      </c>
      <c r="K77" t="inlineStr">
        <is>
          <t>No</t>
        </is>
      </c>
    </row>
    <row r="78">
      <c r="A78" t="inlineStr">
        <is>
          <t>ISS-0077</t>
        </is>
      </c>
      <c r="B78" t="inlineStr">
        <is>
          <t>MN8-019</t>
        </is>
      </c>
      <c r="C78" s="9" t="n">
        <v>45885</v>
      </c>
      <c r="D78" s="9" t="n">
        <v>45926</v>
      </c>
      <c r="E78" t="inlineStr">
        <is>
          <t>Design revision</t>
        </is>
      </c>
      <c r="F78" t="inlineStr">
        <is>
          <t>Medium</t>
        </is>
      </c>
      <c r="G78" t="inlineStr">
        <is>
          <t>Open</t>
        </is>
      </c>
      <c r="H78" t="n">
        <v>7</v>
      </c>
      <c r="I78" t="n">
        <v>6019</v>
      </c>
      <c r="J78" t="inlineStr">
        <is>
          <t>Project Controls</t>
        </is>
      </c>
      <c r="K78" t="inlineStr">
        <is>
          <t>No</t>
        </is>
      </c>
    </row>
    <row r="79">
      <c r="A79" t="inlineStr">
        <is>
          <t>ISS-0078</t>
        </is>
      </c>
      <c r="B79" t="inlineStr">
        <is>
          <t>MN8-020</t>
        </is>
      </c>
      <c r="C79" s="9" t="n">
        <v>45941</v>
      </c>
      <c r="D79" s="9" t="n">
        <v>45988</v>
      </c>
      <c r="E79" t="inlineStr">
        <is>
          <t>Weather</t>
        </is>
      </c>
      <c r="F79" t="inlineStr">
        <is>
          <t>Medium</t>
        </is>
      </c>
      <c r="G79" t="inlineStr">
        <is>
          <t>Closed</t>
        </is>
      </c>
      <c r="H79" t="n">
        <v>11</v>
      </c>
      <c r="I79" t="n">
        <v>64717</v>
      </c>
      <c r="J79" t="inlineStr">
        <is>
          <t>Development</t>
        </is>
      </c>
      <c r="K79" t="inlineStr">
        <is>
          <t>No</t>
        </is>
      </c>
    </row>
    <row r="80">
      <c r="A80" t="inlineStr">
        <is>
          <t>ISS-0079</t>
        </is>
      </c>
      <c r="B80" t="inlineStr">
        <is>
          <t>MN8-020</t>
        </is>
      </c>
      <c r="C80" s="9" t="n">
        <v>45886</v>
      </c>
      <c r="D80" s="9" t="n">
        <v>45903</v>
      </c>
      <c r="E80" t="inlineStr">
        <is>
          <t>Design revision</t>
        </is>
      </c>
      <c r="F80" t="inlineStr">
        <is>
          <t>Low</t>
        </is>
      </c>
      <c r="G80" t="inlineStr">
        <is>
          <t>Open</t>
        </is>
      </c>
      <c r="H80" t="n">
        <v>9</v>
      </c>
      <c r="I80" t="n">
        <v>1115</v>
      </c>
      <c r="J80" t="inlineStr">
        <is>
          <t>Engineering</t>
        </is>
      </c>
      <c r="K80" t="inlineStr">
        <is>
          <t>No</t>
        </is>
      </c>
    </row>
    <row r="81">
      <c r="A81" t="inlineStr">
        <is>
          <t>ISS-0080</t>
        </is>
      </c>
      <c r="B81" t="inlineStr">
        <is>
          <t>MN8-020</t>
        </is>
      </c>
      <c r="C81" s="9" t="n">
        <v>46016</v>
      </c>
      <c r="D81" s="9" t="n">
        <v>46054</v>
      </c>
      <c r="E81" t="inlineStr">
        <is>
          <t>Permit approval</t>
        </is>
      </c>
      <c r="F81" t="inlineStr">
        <is>
          <t>Medium</t>
        </is>
      </c>
      <c r="G81" t="inlineStr">
        <is>
          <t>Closed</t>
        </is>
      </c>
      <c r="H81" t="n">
        <v>12</v>
      </c>
      <c r="I81" t="n">
        <v>21984</v>
      </c>
      <c r="J81" t="inlineStr">
        <is>
          <t>Construction</t>
        </is>
      </c>
      <c r="K81" t="inlineStr">
        <is>
          <t>No</t>
        </is>
      </c>
    </row>
    <row r="82">
      <c r="A82" t="inlineStr">
        <is>
          <t>ISS-0081</t>
        </is>
      </c>
      <c r="B82" t="inlineStr">
        <is>
          <t>MN8-021</t>
        </is>
      </c>
      <c r="C82" s="9" t="n">
        <v>45872</v>
      </c>
      <c r="D82" s="9" t="n">
        <v>45918</v>
      </c>
      <c r="E82" t="inlineStr">
        <is>
          <t>Design revision</t>
        </is>
      </c>
      <c r="F82" t="inlineStr">
        <is>
          <t>Medium</t>
        </is>
      </c>
      <c r="G82" t="inlineStr">
        <is>
          <t>Closed</t>
        </is>
      </c>
      <c r="H82" t="n">
        <v>25</v>
      </c>
      <c r="I82" t="n">
        <v>103561</v>
      </c>
      <c r="J82" t="inlineStr">
        <is>
          <t>Construction</t>
        </is>
      </c>
      <c r="K82" t="inlineStr">
        <is>
          <t>No</t>
        </is>
      </c>
    </row>
    <row r="83">
      <c r="A83" t="inlineStr">
        <is>
          <t>ISS-0082</t>
        </is>
      </c>
      <c r="B83" t="inlineStr">
        <is>
          <t>MN8-021</t>
        </is>
      </c>
      <c r="C83" s="9" t="n">
        <v>46003</v>
      </c>
      <c r="D83" s="9" t="n">
        <v>46026</v>
      </c>
      <c r="E83" t="inlineStr">
        <is>
          <t>Design revision</t>
        </is>
      </c>
      <c r="F83" t="inlineStr">
        <is>
          <t>Low</t>
        </is>
      </c>
      <c r="G83" t="inlineStr">
        <is>
          <t>Closed</t>
        </is>
      </c>
      <c r="H83" t="n">
        <v>0</v>
      </c>
      <c r="I83" t="n">
        <v>31164</v>
      </c>
      <c r="J83" t="inlineStr">
        <is>
          <t>Development</t>
        </is>
      </c>
      <c r="K83" t="inlineStr">
        <is>
          <t>No</t>
        </is>
      </c>
    </row>
    <row r="84">
      <c r="A84" t="inlineStr">
        <is>
          <t>ISS-0083</t>
        </is>
      </c>
      <c r="B84" t="inlineStr">
        <is>
          <t>MN8-021</t>
        </is>
      </c>
      <c r="C84" s="9" t="n">
        <v>46002</v>
      </c>
      <c r="D84" s="9" t="n">
        <v>46055</v>
      </c>
      <c r="E84" t="inlineStr">
        <is>
          <t>Equipment lead time</t>
        </is>
      </c>
      <c r="F84" t="inlineStr">
        <is>
          <t>High</t>
        </is>
      </c>
      <c r="G84" t="inlineStr">
        <is>
          <t>Closed</t>
        </is>
      </c>
      <c r="H84" t="n">
        <v>26</v>
      </c>
      <c r="I84" t="n">
        <v>153235</v>
      </c>
      <c r="J84" t="inlineStr">
        <is>
          <t>Construction</t>
        </is>
      </c>
      <c r="K84" t="inlineStr">
        <is>
          <t>Yes</t>
        </is>
      </c>
    </row>
    <row r="85">
      <c r="A85" t="inlineStr">
        <is>
          <t>ISS-0084</t>
        </is>
      </c>
      <c r="B85" t="inlineStr">
        <is>
          <t>MN8-022</t>
        </is>
      </c>
      <c r="C85" s="9" t="n">
        <v>45893</v>
      </c>
      <c r="D85" s="9" t="n">
        <v>45898</v>
      </c>
      <c r="E85" t="inlineStr">
        <is>
          <t>Equipment lead time</t>
        </is>
      </c>
      <c r="F85" t="inlineStr">
        <is>
          <t>Low</t>
        </is>
      </c>
      <c r="G85" t="inlineStr">
        <is>
          <t>Closed</t>
        </is>
      </c>
      <c r="H85" t="n">
        <v>0</v>
      </c>
      <c r="I85" t="n">
        <v>58842</v>
      </c>
      <c r="J85" t="inlineStr">
        <is>
          <t>Engineering</t>
        </is>
      </c>
      <c r="K85" t="inlineStr">
        <is>
          <t>No</t>
        </is>
      </c>
    </row>
    <row r="86">
      <c r="A86" t="inlineStr">
        <is>
          <t>ISS-0085</t>
        </is>
      </c>
      <c r="B86" t="inlineStr">
        <is>
          <t>MN8-022</t>
        </is>
      </c>
      <c r="C86" s="9" t="n">
        <v>45907</v>
      </c>
      <c r="D86" s="9" t="n">
        <v>45949</v>
      </c>
      <c r="E86" t="inlineStr">
        <is>
          <t>Supply chain</t>
        </is>
      </c>
      <c r="F86" t="inlineStr">
        <is>
          <t>High</t>
        </is>
      </c>
      <c r="G86" t="inlineStr">
        <is>
          <t>Closed</t>
        </is>
      </c>
      <c r="H86" t="n">
        <v>22</v>
      </c>
      <c r="I86" t="n">
        <v>189476</v>
      </c>
      <c r="J86" t="inlineStr">
        <is>
          <t>Construction</t>
        </is>
      </c>
      <c r="K86" t="inlineStr">
        <is>
          <t>Yes</t>
        </is>
      </c>
    </row>
    <row r="87">
      <c r="A87" t="inlineStr">
        <is>
          <t>ISS-0086</t>
        </is>
      </c>
      <c r="B87" t="inlineStr">
        <is>
          <t>MN8-022</t>
        </is>
      </c>
      <c r="C87" s="9" t="n">
        <v>46011</v>
      </c>
      <c r="D87" s="9" t="n">
        <v>46048</v>
      </c>
      <c r="E87" t="inlineStr">
        <is>
          <t>Equipment lead time</t>
        </is>
      </c>
      <c r="F87" t="inlineStr">
        <is>
          <t>Medium</t>
        </is>
      </c>
      <c r="G87" t="inlineStr">
        <is>
          <t>Closed</t>
        </is>
      </c>
      <c r="H87" t="n">
        <v>10</v>
      </c>
      <c r="I87" t="n">
        <v>69883</v>
      </c>
      <c r="J87" t="inlineStr">
        <is>
          <t>Engineering</t>
        </is>
      </c>
      <c r="K87" t="inlineStr">
        <is>
          <t>No</t>
        </is>
      </c>
    </row>
    <row r="88">
      <c r="A88" t="inlineStr">
        <is>
          <t>ISS-0087</t>
        </is>
      </c>
      <c r="B88" t="inlineStr">
        <is>
          <t>MN8-022</t>
        </is>
      </c>
      <c r="C88" s="9" t="n">
        <v>45936</v>
      </c>
      <c r="D88" s="9" t="n">
        <v>45961</v>
      </c>
      <c r="E88" t="inlineStr">
        <is>
          <t>Supply chain</t>
        </is>
      </c>
      <c r="F88" t="inlineStr">
        <is>
          <t>Low</t>
        </is>
      </c>
      <c r="G88" t="inlineStr">
        <is>
          <t>Closed</t>
        </is>
      </c>
      <c r="H88" t="n">
        <v>2</v>
      </c>
      <c r="I88" t="n">
        <v>28605</v>
      </c>
      <c r="J88" t="inlineStr">
        <is>
          <t>Development</t>
        </is>
      </c>
      <c r="K88" t="inlineStr">
        <is>
          <t>No</t>
        </is>
      </c>
    </row>
    <row r="89">
      <c r="A89" t="inlineStr">
        <is>
          <t>ISS-0088</t>
        </is>
      </c>
      <c r="B89" t="inlineStr">
        <is>
          <t>MN8-023</t>
        </is>
      </c>
      <c r="C89" s="9" t="n">
        <v>45887</v>
      </c>
      <c r="D89" s="9" t="n">
        <v>45889</v>
      </c>
      <c r="E89" t="inlineStr">
        <is>
          <t>Interconnection delay</t>
        </is>
      </c>
      <c r="F89" t="inlineStr">
        <is>
          <t>Low</t>
        </is>
      </c>
      <c r="G89" t="inlineStr">
        <is>
          <t>Closed</t>
        </is>
      </c>
      <c r="H89" t="n">
        <v>3</v>
      </c>
      <c r="I89" t="n">
        <v>87331</v>
      </c>
      <c r="J89" t="inlineStr">
        <is>
          <t>Project Controls</t>
        </is>
      </c>
      <c r="K89" t="inlineStr">
        <is>
          <t>No</t>
        </is>
      </c>
    </row>
    <row r="90">
      <c r="A90" t="inlineStr">
        <is>
          <t>ISS-0089</t>
        </is>
      </c>
      <c r="B90" t="inlineStr">
        <is>
          <t>MN8-023</t>
        </is>
      </c>
      <c r="C90" s="9" t="n">
        <v>45897</v>
      </c>
      <c r="D90" s="9" t="n">
        <v>45933</v>
      </c>
      <c r="E90" t="inlineStr">
        <is>
          <t>Design revision</t>
        </is>
      </c>
      <c r="F90" t="inlineStr">
        <is>
          <t>Medium</t>
        </is>
      </c>
      <c r="G90" t="inlineStr">
        <is>
          <t>Closed</t>
        </is>
      </c>
      <c r="H90" t="n">
        <v>18</v>
      </c>
      <c r="I90" t="n">
        <v>99830</v>
      </c>
      <c r="J90" t="inlineStr">
        <is>
          <t>Procurement</t>
        </is>
      </c>
      <c r="K90" t="inlineStr">
        <is>
          <t>No</t>
        </is>
      </c>
    </row>
    <row r="91">
      <c r="A91" t="inlineStr">
        <is>
          <t>ISS-0090</t>
        </is>
      </c>
      <c r="B91" t="inlineStr">
        <is>
          <t>MN8-024</t>
        </is>
      </c>
      <c r="C91" s="9" t="n">
        <v>45902</v>
      </c>
      <c r="D91" s="9" t="n">
        <v>45945</v>
      </c>
      <c r="E91" t="inlineStr">
        <is>
          <t>Weather</t>
        </is>
      </c>
      <c r="F91" t="inlineStr">
        <is>
          <t>Medium</t>
        </is>
      </c>
      <c r="G91" t="inlineStr">
        <is>
          <t>Closed</t>
        </is>
      </c>
      <c r="H91" t="n">
        <v>20</v>
      </c>
      <c r="I91" t="n">
        <v>34027</v>
      </c>
      <c r="J91" t="inlineStr">
        <is>
          <t>Construction</t>
        </is>
      </c>
      <c r="K91" t="inlineStr">
        <is>
          <t>No</t>
        </is>
      </c>
    </row>
    <row r="92">
      <c r="A92" t="inlineStr">
        <is>
          <t>ISS-0091</t>
        </is>
      </c>
      <c r="B92" t="inlineStr">
        <is>
          <t>MN8-024</t>
        </is>
      </c>
      <c r="C92" s="9" t="n">
        <v>45964</v>
      </c>
      <c r="D92" s="9" t="n">
        <v>45984</v>
      </c>
      <c r="E92" t="inlineStr">
        <is>
          <t>Interconnection delay</t>
        </is>
      </c>
      <c r="F92" t="inlineStr">
        <is>
          <t>Low</t>
        </is>
      </c>
      <c r="G92" t="inlineStr">
        <is>
          <t>Closed</t>
        </is>
      </c>
      <c r="H92" t="n">
        <v>0</v>
      </c>
      <c r="I92" t="n">
        <v>0</v>
      </c>
      <c r="J92" t="inlineStr">
        <is>
          <t>Engineering</t>
        </is>
      </c>
      <c r="K92" t="inlineStr">
        <is>
          <t>No</t>
        </is>
      </c>
    </row>
    <row r="93">
      <c r="A93" t="inlineStr">
        <is>
          <t>ISS-0092</t>
        </is>
      </c>
      <c r="B93" t="inlineStr">
        <is>
          <t>MN8-024</t>
        </is>
      </c>
      <c r="C93" s="9" t="n">
        <v>45933</v>
      </c>
      <c r="D93" s="9" t="n">
        <v>45984</v>
      </c>
      <c r="E93" t="inlineStr">
        <is>
          <t>Permit approval</t>
        </is>
      </c>
      <c r="F93" t="inlineStr">
        <is>
          <t>High</t>
        </is>
      </c>
      <c r="G93" t="inlineStr">
        <is>
          <t>Open</t>
        </is>
      </c>
      <c r="H93" t="n">
        <v>23</v>
      </c>
      <c r="I93" t="n">
        <v>192302</v>
      </c>
      <c r="J93" t="inlineStr">
        <is>
          <t>Engineering</t>
        </is>
      </c>
      <c r="K93" t="inlineStr">
        <is>
          <t>Yes</t>
        </is>
      </c>
    </row>
    <row r="94">
      <c r="A94" t="inlineStr">
        <is>
          <t>ISS-0093</t>
        </is>
      </c>
      <c r="B94" t="inlineStr">
        <is>
          <t>MN8-024</t>
        </is>
      </c>
      <c r="C94" s="9" t="n">
        <v>46017</v>
      </c>
      <c r="D94" s="9" t="n">
        <v>46048</v>
      </c>
      <c r="E94" t="inlineStr">
        <is>
          <t>Contractor productivity</t>
        </is>
      </c>
      <c r="F94" t="inlineStr">
        <is>
          <t>Medium</t>
        </is>
      </c>
      <c r="G94" t="inlineStr">
        <is>
          <t>Closed</t>
        </is>
      </c>
      <c r="H94" t="n">
        <v>16</v>
      </c>
      <c r="I94" t="n">
        <v>50911</v>
      </c>
      <c r="J94" t="inlineStr">
        <is>
          <t>Development</t>
        </is>
      </c>
      <c r="K9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2026-04-21T04:43:34Z</dcterms:created>
  <dcterms:modified xmlns:dcterms="http://purl.org/dc/terms/" xmlns:xsi="http://www.w3.org/2001/XMLSchema-instance" xsi:type="dcterms:W3CDTF">2026-04-21T04:43:34Z</dcterms:modified>
</cp:coreProperties>
</file>